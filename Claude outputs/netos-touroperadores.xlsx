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puestos" sheetId="1" state="visible" r:id="rId3"/>
    <sheet name="Netos" sheetId="2" state="visible" r:id="rId4"/>
    <sheet name="Por plataforma"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<sst xmlns="http://schemas.openxmlformats.org/spreadsheetml/2006/main" count="3002" uniqueCount="1340">
  <si>
    <t xml:space="preserve">Lo que se supone para sacar el neto</t>
  </si>
  <si>
    <t xml:space="preserve">Comisión que cobran las plataformas</t>
  </si>
  <si>
    <t xml:space="preserve">Dato de Javi, cerrado el 22 sep 2026 en 30%. No es la tarifa publicada. Airbnb declara 20% en Experiencias, pero sobre esa comisión corre el IVA del 16% —que la deja en 23.2%— y encima van conversión de divisa y proceso de pago. Las demás plataformas hacen lo mismo. Cambia esta celda y toda la hoja Netos se recalcula.</t>
  </si>
  <si>
    <t xml:space="preserve">Qué es el neto de esta hoja</t>
  </si>
  <si>
    <t xml:space="preserve">Lo que le queda al operador después de la comisión de la plataforma. Es el mismo número que le puede dar a Sincrético: no le pedimos mejor precio que a las OTAs, le pedimos el mismo. Nosotros además lo repartimos con quien lo vende.</t>
  </si>
  <si>
    <t xml:space="preserve">De dónde salen los precios</t>
  </si>
  <si>
    <t xml:space="preserve">Captura de listados públicos del 15 de septiembre de 2026, en crm_guias y crm_guia_tours. 455 anuncios de 393 tours de 235 guías. Todo en pesos mexicanos.</t>
  </si>
  <si>
    <t xml:space="preserve">Moneda</t>
  </si>
  <si>
    <t xml:space="preserve">TODAS las cifras de este archivo están en PESOS MEXICANOS (MXN). Donde aparezca un importe en dólares se escribe USD de forma explícita. Los contratos de las plataformas sí usan dólares en algunos umbrales —Viator retiene liquidaciones por debajo de USD 50, Airbnb cobra un mínimo de USD 6 en Servicios—; esos son dólares, no pesos, y no se han convertido.</t>
  </si>
  <si>
    <t xml:space="preserve">Guía</t>
  </si>
  <si>
    <t xml:space="preserve">Tour</t>
  </si>
  <si>
    <t xml:space="preserve">Zona</t>
  </si>
  <si>
    <t xml:space="preserve">Plataforma</t>
  </si>
  <si>
    <t xml:space="preserve">Rating</t>
  </si>
  <si>
    <t xml:space="preserve">Reseñas</t>
  </si>
  <si>
    <t xml:space="preserve">PVP público (MXN)</t>
  </si>
  <si>
    <t xml:space="preserve">Neto para nosotros (MXN)</t>
  </si>
  <si>
    <t xml:space="preserve">Web</t>
  </si>
  <si>
    <t xml:space="preserve">Instagram</t>
  </si>
  <si>
    <t xml:space="preserve">Correo</t>
  </si>
  <si>
    <t xml:space="preserve">WhatsApp</t>
  </si>
  <si>
    <t xml:space="preserve">Liga del anuncio</t>
  </si>
  <si>
    <t xml:space="preserve">A Chef's Tour</t>
  </si>
  <si>
    <t xml:space="preserve">Tour gastronómico por la Ciudad de México con 12+ degustaciones</t>
  </si>
  <si>
    <t xml:space="preserve">Centro Histórico</t>
  </si>
  <si>
    <t xml:space="preserve">Viator</t>
  </si>
  <si>
    <t xml:space="preserve">https://achefstour.com/</t>
  </si>
  <si>
    <t xml:space="preserve">@achefstour</t>
  </si>
  <si>
    <t xml:space="preserve">info@achefstour.com</t>
  </si>
  <si>
    <t xml:space="preserve">https://www.viator.com/es-MX/tours/Mexico-City/x/d628-69673P126</t>
  </si>
  <si>
    <t xml:space="preserve">Abril · Find Mexico</t>
  </si>
  <si>
    <t xml:space="preserve">Tour privado a pie por el centro de la Ciudad de México</t>
  </si>
  <si>
    <t xml:space="preserve">https://www.viator.com/es-MX/tours/Mexico-City/x/d628-5517516P1</t>
  </si>
  <si>
    <t xml:space="preserve">Adrenaline</t>
  </si>
  <si>
    <t xml:space="preserve">Tepito Tour Mercados locales, comida callejera y Santa Muerte</t>
  </si>
  <si>
    <t xml:space="preserve">https://www.viator.com/es-MX/tours/Mexico-City/x/d628-91751P313</t>
  </si>
  <si>
    <t xml:space="preserve">Ady — Experience Mexico from the center: Legend and hi</t>
  </si>
  <si>
    <t xml:space="preserve">Experience Mexico from the center: Legend and history</t>
  </si>
  <si>
    <t xml:space="preserve">Airbnb Experiences</t>
  </si>
  <si>
    <t xml:space="preserve">https://www.airbnb.com/experiences/6461639</t>
  </si>
  <si>
    <t xml:space="preserve">Alejandro Torres Rivera</t>
  </si>
  <si>
    <t xml:space="preserve">Ride a bike and cable car through Chapultepec</t>
  </si>
  <si>
    <t xml:space="preserve">Bici · varias colonias</t>
  </si>
  <si>
    <t xml:space="preserve">https://www.airbnb.com/experiences/4763785</t>
  </si>
  <si>
    <t xml:space="preserve">ALEMEX TOURS</t>
  </si>
  <si>
    <t xml:space="preserve">Ciudad de México: recorrido guiado por la ciudad desde el Parque Chapultepec hasta la avenida Paseo de la Reforma</t>
  </si>
  <si>
    <t xml:space="preserve">Reforma/Juárez</t>
  </si>
  <si>
    <t xml:space="preserve">https://www.alemex-tours.com/</t>
  </si>
  <si>
    <t xml:space="preserve">491792001731</t>
  </si>
  <si>
    <t xml:space="preserve">https://www.airbnb.com/experiences/6941466</t>
  </si>
  <si>
    <t xml:space="preserve">GetYourGuide</t>
  </si>
  <si>
    <t xml:space="preserve">https://www.getyourguide.com/es-mx/ciudad-de-mexico-l194/-t1108573/</t>
  </si>
  <si>
    <t xml:space="preserve">Ciudad de México: Recorrido histórico por el centro – De los aztecas a la metrópoli</t>
  </si>
  <si>
    <t xml:space="preserve">https://www.getyourguide.com/es-mx/ciudad-de-mexico-l194/-t1141787/</t>
  </si>
  <si>
    <t xml:space="preserve">https://www.airbnb.com/experiences/6913997</t>
  </si>
  <si>
    <t xml:space="preserve">https://www.viator.com/es-MX/tours/Mexico-City/x/d628-5652165P2</t>
  </si>
  <si>
    <t xml:space="preserve">From the Park to the Boulevard: Chapultepec &amp; Reforma</t>
  </si>
  <si>
    <t xml:space="preserve">https://www.airbnb.com/experiences/6955761</t>
  </si>
  <si>
    <t xml:space="preserve">Historic Center: From the Aztecs to the Present</t>
  </si>
  <si>
    <t xml:space="preserve">https://www.airbnb.com/experiences/6928261</t>
  </si>
  <si>
    <t xml:space="preserve">Alisa — Meet the ghosts of Mexico City</t>
  </si>
  <si>
    <t xml:space="preserve">Meet the ghosts of Mexico City</t>
  </si>
  <si>
    <t xml:space="preserve">https://www.airbnb.com/experiences/3111741</t>
  </si>
  <si>
    <t xml:space="preserve">ALOHA CDMX</t>
  </si>
  <si>
    <t xml:space="preserve">Noche de Barrio Tacos Mezcal y Música</t>
  </si>
  <si>
    <t xml:space="preserve">https://www.viator.com/es-MX/tours/Mexico-City/x/d628-427760P4</t>
  </si>
  <si>
    <t xml:space="preserve">Amazing photoshoot in downtown Mexico City</t>
  </si>
  <si>
    <t xml:space="preserve">Explorando el centro de la Ciudad de México a través de la lente</t>
  </si>
  <si>
    <t xml:space="preserve">https://www.viator.com/es-MX/tours/Mexico-City/x/d628-5599437P2</t>
  </si>
  <si>
    <t xml:space="preserve">Amigo Tours</t>
  </si>
  <si>
    <t xml:space="preserve">Ciudad de México: tour nocturno a pie con opción de Torre Latino</t>
  </si>
  <si>
    <t xml:space="preserve">https://amigotours.com/</t>
  </si>
  <si>
    <t xml:space="preserve">@amigo.tours</t>
  </si>
  <si>
    <t xml:space="preserve">cdmx@amigotours.com</t>
  </si>
  <si>
    <t xml:space="preserve">525545638246</t>
  </si>
  <si>
    <t xml:space="preserve">https://www.getyourguide.com/es-mx/ciudad-de-mexico-l194/-t409964/</t>
  </si>
  <si>
    <t xml:space="preserve">https://www.viator.com/es-MX/tours/Mexico-City/x/d628-5885P196</t>
  </si>
  <si>
    <t xml:space="preserve">Ciudad de México: tour privado en bicicleta por el Bosque de Chapultepec</t>
  </si>
  <si>
    <t xml:space="preserve">https://www.viator.com/es-MX/tours/Mexico-City/x/d628-5885P432</t>
  </si>
  <si>
    <t xml:space="preserve">https://www.getyourguide.com/es-mx/ciudad-de-mexico-l194/-t434289/</t>
  </si>
  <si>
    <t xml:space="preserve">Day of the Dead Tour</t>
  </si>
  <si>
    <t xml:space="preserve">https://www.airbnb.com/experiences/6951617</t>
  </si>
  <si>
    <t xml:space="preserve">Edificios y palacios imperdibles de la Ciudad de México</t>
  </si>
  <si>
    <t xml:space="preserve">https://www.getyourguide.com/es-mx/ciudad-de-mexico-l194/-t433804/</t>
  </si>
  <si>
    <t xml:space="preserve">Tour de Mercados Locales &amp; Comida Exótica</t>
  </si>
  <si>
    <t xml:space="preserve">https://www.airbnb.com/experiences/6952959</t>
  </si>
  <si>
    <t xml:space="preserve">https://www.viator.com/es-MX/tours/Mexico-City/x/d628-5885P431</t>
  </si>
  <si>
    <t xml:space="preserve">Tour por el Banco Nacional y los palacios de Ciudad de Mexico</t>
  </si>
  <si>
    <t xml:space="preserve">Civitatis</t>
  </si>
  <si>
    <t xml:space="preserve">https://www.civitatis.com/es/ciudad-de-mexico/banco-nacional-palacios-ciudad-mexico/</t>
  </si>
  <si>
    <t xml:space="preserve">Ancient Tenochtitlán Tours</t>
  </si>
  <si>
    <t xml:space="preserve">Tour Ciudad de México Antigua : Degustación de Cacao &amp; Historia Azteca en CDMX</t>
  </si>
  <si>
    <t xml:space="preserve">https://www.viator.com/es-MX/tours/Mexico-City/x/d628-5596307P2</t>
  </si>
  <si>
    <t xml:space="preserve">Andrea — Artistic and Cultural Tour in Tepito</t>
  </si>
  <si>
    <t xml:space="preserve">Artistic and Cultural Tour in Tepito</t>
  </si>
  <si>
    <t xml:space="preserve">https://www.airbnb.com/experiences/6916169</t>
  </si>
  <si>
    <t xml:space="preserve">Andrés (Pintando la Revolución)</t>
  </si>
  <si>
    <t xml:space="preserve">Painting the Revolution: Murals, Markets, and Pulque</t>
  </si>
  <si>
    <t xml:space="preserve">https://www.airbnb.com/experiences/7051320</t>
  </si>
  <si>
    <t xml:space="preserve">Pintando la revolución Muralismo y pulque en CDMX</t>
  </si>
  <si>
    <t xml:space="preserve">https://www.viator.com/es-MX/tours/Mexico-City/x/d628-5580793P4</t>
  </si>
  <si>
    <t xml:space="preserve">Santa María la Rivera librería flotante, murales y pulque</t>
  </si>
  <si>
    <t xml:space="preserve">https://www.viator.com/es-MX/tours/Mexico-City/x/d628-5580793P6</t>
  </si>
  <si>
    <t xml:space="preserve">Angel — A Food Tour of Historic Santa Maria la Ribera</t>
  </si>
  <si>
    <t xml:space="preserve">A Food Tour of Historic Santa Maria la Ribera</t>
  </si>
  <si>
    <t xml:space="preserve">https://www.airbnb.com/experiences/6534668</t>
  </si>
  <si>
    <t xml:space="preserve">Angela Pilar — Mexico City Revealed Food and Culture Experience</t>
  </si>
  <si>
    <t xml:space="preserve">Mexico City Revealed Food and Culture Experience</t>
  </si>
  <si>
    <t xml:space="preserve">https://www.airbnb.com/experiences/7117952</t>
  </si>
  <si>
    <t xml:space="preserve">Antonio — Trace mariachi legends in Garibaldi</t>
  </si>
  <si>
    <t xml:space="preserve">Trace mariachi legends in Garibaldi</t>
  </si>
  <si>
    <t xml:space="preserve">https://www.airbnb.com/experiences/7252170</t>
  </si>
  <si>
    <t xml:space="preserve">Arc Tours</t>
  </si>
  <si>
    <t xml:space="preserve">Recorrido a Pie por el Templo Mayor y el Centro Histórico</t>
  </si>
  <si>
    <t xml:space="preserve">https://www.viator.com/es-MX/tours/Mexico-City/x/d628-484176P6</t>
  </si>
  <si>
    <t xml:space="preserve">Arte Para Todxs</t>
  </si>
  <si>
    <t xml:space="preserve">Diego Rivera &amp; Bellas Artes: Mural Masterpieces</t>
  </si>
  <si>
    <t xml:space="preserve">https://www.airbnb.com/experiences/7224665</t>
  </si>
  <si>
    <t xml:space="preserve">San Ildefonso: Where Muralism Began</t>
  </si>
  <si>
    <t xml:space="preserve">https://www.airbnb.com/experiences/7224702</t>
  </si>
  <si>
    <t xml:space="preserve">Artours CDMX</t>
  </si>
  <si>
    <t xml:space="preserve">Centro de la CDMX como Nunca lo Viste Historia y Secretos</t>
  </si>
  <si>
    <t xml:space="preserve">https://www.viator.com/es-MX/tours/Mexico-City/x/d628-5571656P3</t>
  </si>
  <si>
    <t xml:space="preserve">Aztec Action</t>
  </si>
  <si>
    <t xml:space="preserve">Ciudad de México: tour a pie por la historia del catolicismo con guía</t>
  </si>
  <si>
    <t xml:space="preserve">https://www.getyourguide.com/es-mx/ciudad-de-mexico-l194/-t1362651/</t>
  </si>
  <si>
    <t xml:space="preserve">AztecAdvendTour</t>
  </si>
  <si>
    <t xml:space="preserve">Ciudad de México: Tour queer de comida y vida nocturna en Garibaldi y la calle Cuba</t>
  </si>
  <si>
    <t xml:space="preserve">https://www.getyourguide.com/es-mx/ciudad-de-mexico-l194/-t1362189/</t>
  </si>
  <si>
    <t xml:space="preserve">Crónicas del Centro: Historias Vivas de la Ciudad de México</t>
  </si>
  <si>
    <t xml:space="preserve">https://www.getyourguide.com/es-mx/ciudad-de-mexico-l194/-t1071997/</t>
  </si>
  <si>
    <t xml:space="preserve">Baika Rool</t>
  </si>
  <si>
    <t xml:space="preserve">Aventura en bici por el Centro Histórico de la Ciudad de México</t>
  </si>
  <si>
    <t xml:space="preserve">@baikarool</t>
  </si>
  <si>
    <t xml:space="preserve">https://www.viator.com/es-MX/tours/Mexico-City/x/d628-323040P4</t>
  </si>
  <si>
    <t xml:space="preserve">Beatriz — History and culture in Mexico City</t>
  </si>
  <si>
    <t xml:space="preserve">History and culture in Mexico City</t>
  </si>
  <si>
    <t xml:space="preserve">https://www.airbnb.com/experiences/6717908</t>
  </si>
  <si>
    <t xml:space="preserve">Bernardo — Taste CDMX with a culinary writer</t>
  </si>
  <si>
    <t xml:space="preserve">Taste CDMX with a culinary writer</t>
  </si>
  <si>
    <t xml:space="preserve">https://gourmetdemexico.com.mx/gastronomia-mexicana/the-blind-taste-la-experiencia-gastronomica-secreta-de-john-bernardo/</t>
  </si>
  <si>
    <t xml:space="preserve">@johnbernardomx</t>
  </si>
  <si>
    <t xml:space="preserve">https://www.airbnb.com/experiences/6199813</t>
  </si>
  <si>
    <t xml:space="preserve">BEST TOUR CDMX</t>
  </si>
  <si>
    <t xml:space="preserve">Mercados Mágicos de la Ciudad de México</t>
  </si>
  <si>
    <t xml:space="preserve">@besttourcdmx</t>
  </si>
  <si>
    <t xml:space="preserve">https://www.viator.com/es-MX/tours/Mexico-City/x/d628-312155P2</t>
  </si>
  <si>
    <t xml:space="preserve">Bikes and Munchies</t>
  </si>
  <si>
    <t xml:space="preserve">Bike tour in Polanco's Art and Architecture</t>
  </si>
  <si>
    <t xml:space="preserve">https://www.bikesandmunchies.com/</t>
  </si>
  <si>
    <t xml:space="preserve">@bikesandmunchies</t>
  </si>
  <si>
    <t xml:space="preserve">525525356055</t>
  </si>
  <si>
    <t xml:space="preserve">https://www.airbnb.com/experiences/7212087</t>
  </si>
  <si>
    <t xml:space="preserve">Ciudad de México: tour en bicicleta por Roma y Condesa con comida callejera</t>
  </si>
  <si>
    <t xml:space="preserve">https://www.getyourguide.com/es-mx/ciudad-de-mexico-l194/-t1037082/</t>
  </si>
  <si>
    <t xml:space="preserve">https://www.airbnb.com/experiences/102485</t>
  </si>
  <si>
    <t xml:space="preserve">Cycle to Michelin tacos with food lovers</t>
  </si>
  <si>
    <t xml:space="preserve">https://www.airbnb.com/experiences/7211965</t>
  </si>
  <si>
    <t xml:space="preserve">Tour de comida callejera con amigos</t>
  </si>
  <si>
    <t xml:space="preserve">https://www.viator.com/es-MX/tours/Mexico-City/x/d628-227508P1</t>
  </si>
  <si>
    <t xml:space="preserve">Tour Santa María la Rivera, Picados y Bicicletas</t>
  </si>
  <si>
    <t xml:space="preserve">https://www.viator.com/es-MX/tours/Mexico-City/x/d628-227508P3</t>
  </si>
  <si>
    <t xml:space="preserve">https://www.airbnb.com/experiences/2705659</t>
  </si>
  <si>
    <t xml:space="preserve">Bondabu</t>
  </si>
  <si>
    <t xml:space="preserve">Recorrido profundo por La Merced y mercados emblemáticos de la Ciudad de México</t>
  </si>
  <si>
    <t xml:space="preserve">https://bondabu.com/</t>
  </si>
  <si>
    <t xml:space="preserve">@bondabu_tours</t>
  </si>
  <si>
    <t xml:space="preserve">hola@bondabu.com</t>
  </si>
  <si>
    <t xml:space="preserve">https://www.viator.com/es-MX/tours/Mexico-City/x/d628-67901P2</t>
  </si>
  <si>
    <t xml:space="preserve">Tour de comida callejera por la Ciudad de México</t>
  </si>
  <si>
    <t xml:space="preserve">https://www.viator.com/es-MX/tours/Mexico-City/x/d628-67901P5</t>
  </si>
  <si>
    <t xml:space="preserve">Tour de tacos por la calle de la Ciudad de México</t>
  </si>
  <si>
    <t xml:space="preserve">https://www.viator.com/es-MX/tours/Mexico-City/x/d628-67901P3</t>
  </si>
  <si>
    <t xml:space="preserve">Camina la Ciudad</t>
  </si>
  <si>
    <t xml:space="preserve">Discover the history of the center</t>
  </si>
  <si>
    <t xml:space="preserve">@caminalaciudad</t>
  </si>
  <si>
    <t xml:space="preserve">https://www.airbnb.com/experiences/647391</t>
  </si>
  <si>
    <t xml:space="preserve">Caminatas con Laura</t>
  </si>
  <si>
    <t xml:space="preserve">Tour Curioso y original en el Centro Histórico de la CDMX</t>
  </si>
  <si>
    <t xml:space="preserve">https://www.viator.com/es-MX/tours/Mexico-City/x/d628-483975P1</t>
  </si>
  <si>
    <t xml:space="preserve">Carlos San Roman</t>
  </si>
  <si>
    <t xml:space="preserve">Ciudad de México: tour guiado a pie por el patrimonio judío</t>
  </si>
  <si>
    <t xml:space="preserve">https://www.getyourguide.com/es-mx/ciudad-de-mexico-l194/-t1084837/</t>
  </si>
  <si>
    <t xml:space="preserve">Cecilia</t>
  </si>
  <si>
    <t xml:space="preserve">Tacos icónicos de El Centro guiados por Taco Crawl en CDMX</t>
  </si>
  <si>
    <t xml:space="preserve">https://www.viator.com/es-MX/tours/Mexico-City/x/d628-5597153P4</t>
  </si>
  <si>
    <t xml:space="preserve">Centro Histórico México. Tour Gourmet-Cultural</t>
  </si>
  <si>
    <t xml:space="preserve">Cultural y Gourmet tour Centro Histórico Mexico</t>
  </si>
  <si>
    <t xml:space="preserve">https://www.viator.com/es-MX/tours/Mexico-City/x/d628-5664399P1</t>
  </si>
  <si>
    <t xml:space="preserve">Chaa' México</t>
  </si>
  <si>
    <t xml:space="preserve">CDMX: Descubre las joyas secretas de Chapultepec en bicicleta</t>
  </si>
  <si>
    <t xml:space="preserve">https://www.getyourguide.com/es-mx/ciudad-de-mexico-l194/-t1078314/</t>
  </si>
  <si>
    <t xml:space="preserve">https://www.viator.com/es-MX/tours/Mexico-City/x/d628-5556552P1</t>
  </si>
  <si>
    <t xml:space="preserve">Charming Mexico</t>
  </si>
  <si>
    <t xml:space="preserve">Muralismo Mexicano Más Allá de Bellas Artes</t>
  </si>
  <si>
    <t xml:space="preserve">https://www.viator.com/es-MX/tours/Mexico-City/x/d628-5613679P2</t>
  </si>
  <si>
    <t xml:space="preserve">Chez Mannu</t>
  </si>
  <si>
    <t xml:space="preserve">Ciudad de México: historia queer mexicana</t>
  </si>
  <si>
    <t xml:space="preserve">@chezmannu</t>
  </si>
  <si>
    <t xml:space="preserve">https://www.getyourguide.com/es-mx/ciudad-de-mexico-l194/-t690492/</t>
  </si>
  <si>
    <t xml:space="preserve">ChicVacay</t>
  </si>
  <si>
    <t xml:space="preserve">Ciudad de México: tour guiado por el Palacio de Bellas Artes</t>
  </si>
  <si>
    <t xml:space="preserve">https://www.viator.com/es-MX/tours/Mexico-City/x/d628-428703P1</t>
  </si>
  <si>
    <t xml:space="preserve">https://www.getyourguide.com/es-mx/ciudad-de-mexico-l194/-t1227187/</t>
  </si>
  <si>
    <t xml:space="preserve">Chilanga Route on Wheels</t>
  </si>
  <si>
    <t xml:space="preserve">CDMX: recorrido en bicicleta, teleférico y Chapultepec oculto</t>
  </si>
  <si>
    <t xml:space="preserve">https://www.getyourguide.com/es-mx/ciudad-de-mexico-l194/-t1228414/</t>
  </si>
  <si>
    <t xml:space="preserve">Chilangadas Bike Tours</t>
  </si>
  <si>
    <t xml:space="preserve">Ciudad de México: excursión guiada en bici por la cultura y los sabores locales</t>
  </si>
  <si>
    <t xml:space="preserve">https://www.chilangadastours.com/</t>
  </si>
  <si>
    <t xml:space="preserve">@chilangadastourscdmx</t>
  </si>
  <si>
    <t xml:space="preserve">https://www.getyourguide.com/es-mx/ciudad-de-mexico-l194/-t1093680/</t>
  </si>
  <si>
    <t xml:space="preserve">https://www.viator.com/es-MX/tours/Mexico-City/x/d628-5512428P2</t>
  </si>
  <si>
    <t xml:space="preserve">Chilango Insider</t>
  </si>
  <si>
    <t xml:space="preserve">Centro histórico de la Ciudad de México: tour a pie y joyas ocultas</t>
  </si>
  <si>
    <t xml:space="preserve">@chilangoinsider</t>
  </si>
  <si>
    <t xml:space="preserve">https://www.getyourguide.com/es-mx/ciudad-de-mexico-l194/-t1244105/</t>
  </si>
  <si>
    <t xml:space="preserve">Chilangueando</t>
  </si>
  <si>
    <t xml:space="preserve">Centro histórico walking tour a través del tiempo y el espacio</t>
  </si>
  <si>
    <t xml:space="preserve">https://www.viator.com/es-MX/tours/Mexico-City/x/d628-421181P3</t>
  </si>
  <si>
    <t xml:space="preserve">Tour de Tacos e Historia en el Centro Histórico con Todo Incluido</t>
  </si>
  <si>
    <t xml:space="preserve">https://www.viator.com/es-MX/tours/Mexico-City/x/d628-421181P4</t>
  </si>
  <si>
    <t xml:space="preserve">Chilantours</t>
  </si>
  <si>
    <t xml:space="preserve">Ciudad de México: callejón del Centro Histórico</t>
  </si>
  <si>
    <t xml:space="preserve">https://www.viator.com/es-MX/tours/Mexico-City/x/d628-5623541P1</t>
  </si>
  <si>
    <t xml:space="preserve">https://www.getyourguide.com/es-mx/ciudad-de-mexico-l194/-t1335110/</t>
  </si>
  <si>
    <t xml:space="preserve">Chill N Go</t>
  </si>
  <si>
    <t xml:space="preserve">Exclusive Tour to Templo Mayor in CDMX</t>
  </si>
  <si>
    <t xml:space="preserve">https://www.chillandgotours.com/</t>
  </si>
  <si>
    <t xml:space="preserve">@chillandgotours</t>
  </si>
  <si>
    <t xml:space="preserve">carlos.castillo@chillandgotours.com</t>
  </si>
  <si>
    <t xml:space="preserve">https://www.airbnb.com/experiences/6101703</t>
  </si>
  <si>
    <t xml:space="preserve">TOUR EXCLUSIVO Catedral Metropolitana - Grupos pequeños</t>
  </si>
  <si>
    <t xml:space="preserve">https://www.viator.com/es-MX/tours/Mexico-City/x/d628-289853P50</t>
  </si>
  <si>
    <t xml:space="preserve">https://www.airbnb.com/experiences/6106182</t>
  </si>
  <si>
    <t xml:space="preserve">Visita guiada por el Palacio de Bellas Artes</t>
  </si>
  <si>
    <t xml:space="preserve">https://www.airbnb.com/experiences/6458982</t>
  </si>
  <si>
    <t xml:space="preserve">https://www.civitatis.com/es/ciudad-de-mexico/visita-guiada-palacio-bellas-artes/</t>
  </si>
  <si>
    <t xml:space="preserve">Circuitos por Mexico</t>
  </si>
  <si>
    <t xml:space="preserve">Ciudad de México: tour nocturno por la Plaza Garibaldi con mariachis</t>
  </si>
  <si>
    <t xml:space="preserve">https://www.circuitospormexico.com/</t>
  </si>
  <si>
    <t xml:space="preserve">@circuitospormexico</t>
  </si>
  <si>
    <t xml:space="preserve">info@circuitospormexico.com</t>
  </si>
  <si>
    <t xml:space="preserve">528115565847</t>
  </si>
  <si>
    <t xml:space="preserve">https://www.getyourguide.com/es-mx/ciudad-de-mexico-l194/-t979538/</t>
  </si>
  <si>
    <t xml:space="preserve">City Art Tours</t>
  </si>
  <si>
    <t xml:space="preserve">Tour privado de muralismo en la Ciudad de México</t>
  </si>
  <si>
    <t xml:space="preserve">http://cityarttoursmexico.com/</t>
  </si>
  <si>
    <t xml:space="preserve">@cityarttours</t>
  </si>
  <si>
    <t xml:space="preserve">info.cityarttours@gmail.com</t>
  </si>
  <si>
    <t xml:space="preserve">529982122972</t>
  </si>
  <si>
    <t xml:space="preserve">https://www.viator.com/es-MX/tours/Mexico-City/x/d628-125512P124</t>
  </si>
  <si>
    <t xml:space="preserve">City Unscripted</t>
  </si>
  <si>
    <t xml:space="preserve">Tour de tacos en la Ciudad de México con un entusiasta local: 100% personalizado y privado</t>
  </si>
  <si>
    <t xml:space="preserve">https://www.cityunscripted.com/</t>
  </si>
  <si>
    <t xml:space="preserve">@cityunscripted</t>
  </si>
  <si>
    <t xml:space="preserve">info@cityunscripted.com</t>
  </si>
  <si>
    <t xml:space="preserve">https://www.viator.com/es-MX/tours/Mexico-City/x/d628-30791P610</t>
  </si>
  <si>
    <t xml:space="preserve">Tours gastronómicos privados personalizados en la Ciudad de México con un guía local</t>
  </si>
  <si>
    <t xml:space="preserve">https://www.viator.com/es-MX/tours/Mexico-City/x/d628-30791P275</t>
  </si>
  <si>
    <t xml:space="preserve">Claudia Bárcena (not.lost.cdmx)</t>
  </si>
  <si>
    <t xml:space="preserve">CDMX on Two Wheels: Hidden Gems Ride</t>
  </si>
  <si>
    <t xml:space="preserve">https://www.airbnb.com/experiences/6487196</t>
  </si>
  <si>
    <t xml:space="preserve">Paseo en bicicleta al amanecer por el Parque de Chapultepec y Cablebús</t>
  </si>
  <si>
    <t xml:space="preserve">https://www.viator.com/es-MX/tours/Mexico-City/x/d628-5659536P4</t>
  </si>
  <si>
    <t xml:space="preserve">https://www.getyourguide.com/es-mx/ciudad-de-mexico-l194/-t1426003/</t>
  </si>
  <si>
    <t xml:space="preserve">https://www.airbnb.com/experiences/6637244</t>
  </si>
  <si>
    <t xml:space="preserve">Paseo en bicicleta por la Ciudad de México</t>
  </si>
  <si>
    <t xml:space="preserve">https://www.viator.com/es-MX/tours/Mexico-City/x/d628-5497606P2</t>
  </si>
  <si>
    <t xml:space="preserve">Tour en bicicleta, tacos y teleférico en Ciudad de México</t>
  </si>
  <si>
    <t xml:space="preserve">https://www.viator.com/es-MX/tours/Mexico-City/x/d628-5497606P3</t>
  </si>
  <si>
    <t xml:space="preserve">Tour gastronómico local a pie CDMX</t>
  </si>
  <si>
    <t xml:space="preserve">https://www.viator.com/es-MX/tours/Mexico-City/x/d628-5659536P5</t>
  </si>
  <si>
    <t xml:space="preserve">Context Travel</t>
  </si>
  <si>
    <t xml:space="preserve">Small-group Zócalo walking tour in Mexico City</t>
  </si>
  <si>
    <t xml:space="preserve">https://www.contexttravel.com/</t>
  </si>
  <si>
    <t xml:space="preserve">@contexttravel</t>
  </si>
  <si>
    <t xml:space="preserve">https://www.airbnb.com/experiences/6101365</t>
  </si>
  <si>
    <t xml:space="preserve">Corazón Histórico</t>
  </si>
  <si>
    <t xml:space="preserve">Ciudad de México: recorrido completo por el centro histórico</t>
  </si>
  <si>
    <t xml:space="preserve">https://www.viator.com/es-MX/tours/Mexico-City/x/d628-206432P9</t>
  </si>
  <si>
    <t xml:space="preserve">https://www.getyourguide.com/es-mx/ciudad-de-mexico-l194/-t607878/</t>
  </si>
  <si>
    <t xml:space="preserve">Culinary Backstreets</t>
  </si>
  <si>
    <t xml:space="preserve">2026 Secretos Gastronómicos del Centro Histórico</t>
  </si>
  <si>
    <t xml:space="preserve">https://culinarybackstreets.com/city-guides/mexico-city</t>
  </si>
  <si>
    <t xml:space="preserve">@culinarybackstreets</t>
  </si>
  <si>
    <t xml:space="preserve">https://www.viator.com/es-MX/tours/Mexico-City/x/d628-5589711P22</t>
  </si>
  <si>
    <t xml:space="preserve">Curado Tours</t>
  </si>
  <si>
    <t xml:space="preserve">Tour de cantinas y taquerias por Ciudad de Mexico</t>
  </si>
  <si>
    <t xml:space="preserve">https://curadotours19.wixsite.com/misitio</t>
  </si>
  <si>
    <t xml:space="preserve">@curadotours19</t>
  </si>
  <si>
    <t xml:space="preserve">curadotours19@gmail.com</t>
  </si>
  <si>
    <t xml:space="preserve">525579271080</t>
  </si>
  <si>
    <t xml:space="preserve">https://www.civitatis.com/es/ciudad-de-mexico/tour-cantinas-bares-ciudad-mexico/</t>
  </si>
  <si>
    <t xml:space="preserve">Curiosidad Urbana</t>
  </si>
  <si>
    <t xml:space="preserve">Tour Histórico de Ciudad de México Perspectiva Local</t>
  </si>
  <si>
    <t xml:space="preserve">https://www.viator.com/es-MX/tours/Mexico-City/x/d628-5655578P1</t>
  </si>
  <si>
    <t xml:space="preserve">Daniela — No boring history &amp; Mexican food with a local</t>
  </si>
  <si>
    <t xml:space="preserve">No boring history &amp; Mexican food with a local</t>
  </si>
  <si>
    <t xml:space="preserve">https://www.airbnb.com/experiences/4083230</t>
  </si>
  <si>
    <t xml:space="preserve">Daniela Fernanda Gaeta González</t>
  </si>
  <si>
    <t xml:space="preserve">Tour por la Catedral y el Templo Mayor  Murales de Diego Rivera</t>
  </si>
  <si>
    <t xml:space="preserve">tiapanitours@gmail.com</t>
  </si>
  <si>
    <t xml:space="preserve">https://www.civitatis.com/es/ciudad-de-mexico/tour-catedral-templo-mayor-murales/</t>
  </si>
  <si>
    <t xml:space="preserve">Daniella — Tour the Palace of Fine Arts with an Art Histori</t>
  </si>
  <si>
    <t xml:space="preserve">Tour the Palace of Fine Arts with an Art Historian</t>
  </si>
  <si>
    <t xml:space="preserve">https://www.airbnb.com/experiences/7285807</t>
  </si>
  <si>
    <t xml:space="preserve">David — A walk through the city's oldest neighborhood</t>
  </si>
  <si>
    <t xml:space="preserve">A walk through the city's oldest neighborhood</t>
  </si>
  <si>
    <t xml:space="preserve">https://www.airbnb.com/experiences/267718</t>
  </si>
  <si>
    <t xml:space="preserve">David Jose — Spiritual Routes: Tlatelolco, Sonora and Tepito</t>
  </si>
  <si>
    <t xml:space="preserve">Spiritual Routes: Tlatelolco, Sonora and Tepito</t>
  </si>
  <si>
    <t xml:space="preserve">https://www.airbnb.com/experiences/6866178</t>
  </si>
  <si>
    <t xml:space="preserve">Diana — Discover the Zócalo through its food</t>
  </si>
  <si>
    <t xml:space="preserve">Discover the Zócalo through its food</t>
  </si>
  <si>
    <t xml:space="preserve">https://www.airbnb.com/experiences/1328529</t>
  </si>
  <si>
    <t xml:space="preserve">Diana &amp; Roberto (chef)</t>
  </si>
  <si>
    <t xml:space="preserve">This is not another
sad taco tour</t>
  </si>
  <si>
    <t xml:space="preserve">https://www.airbnb.com/experiences/7263890</t>
  </si>
  <si>
    <t xml:space="preserve">Diana Orozco</t>
  </si>
  <si>
    <t xml:space="preserve">Ciudad de México: Tour guiado a pie por el Centro Histórico</t>
  </si>
  <si>
    <t xml:space="preserve">https://www.getyourguide.com/es-mx/ciudad-de-mexico-l194/-t1385494/</t>
  </si>
  <si>
    <t xml:space="preserve">Ciudad de México: tour por Zona Rosa, Reforma y Chapultepec</t>
  </si>
  <si>
    <t xml:space="preserve">https://www.getyourguide.com/es-mx/ciudad-de-mexico-l194/-t1200342/</t>
  </si>
  <si>
    <t xml:space="preserve">Diego — Discover the historical center of Mexico City</t>
  </si>
  <si>
    <t xml:space="preserve">Discover the historical center of Mexico City</t>
  </si>
  <si>
    <t xml:space="preserve">https://www.airbnb.com/experiences/656251</t>
  </si>
  <si>
    <t xml:space="preserve">The City Beneath the City</t>
  </si>
  <si>
    <t xml:space="preserve">https://www.airbnb.com/experiences/7054185</t>
  </si>
  <si>
    <t xml:space="preserve">Diego Alonso — Learn about street art</t>
  </si>
  <si>
    <t xml:space="preserve">Learn about street art</t>
  </si>
  <si>
    <t xml:space="preserve">https://www.airbnb.com/experiences/2634879</t>
  </si>
  <si>
    <t xml:space="preserve">Tlatelolco 68</t>
  </si>
  <si>
    <t xml:space="preserve">https://www.airbnb.com/experiences/7029382</t>
  </si>
  <si>
    <t xml:space="preserve">Dielinguue</t>
  </si>
  <si>
    <t xml:space="preserve">Ciudad de México: Bici, Cannabis, Naturaleza, Comida, Cultura e Historia.</t>
  </si>
  <si>
    <t xml:space="preserve">https://www.getyourguide.com/es-mx/ciudad-de-mexico-l194/-t879865/</t>
  </si>
  <si>
    <t xml:space="preserve">DMM Tours</t>
  </si>
  <si>
    <t xml:space="preserve">CDMX desde el Cielo Mansión Presidencial Diego Rivera y Cantina</t>
  </si>
  <si>
    <t xml:space="preserve">https://www.viator.com/es-MX/tours/Mexico-City/x/d628-5539294P13</t>
  </si>
  <si>
    <t xml:space="preserve">Eat Mexico Culinary Tours</t>
  </si>
  <si>
    <t xml:space="preserve">Comida callejera en la Ciudad de México: una guía para principiantes</t>
  </si>
  <si>
    <t xml:space="preserve">https://eatmexico.com/</t>
  </si>
  <si>
    <t xml:space="preserve">@eatmexico</t>
  </si>
  <si>
    <t xml:space="preserve">hola@eatmexico.com</t>
  </si>
  <si>
    <t xml:space="preserve">525618995820</t>
  </si>
  <si>
    <t xml:space="preserve">https://www.viator.com/es-MX/tours/Mexico-City/x/d628-248994P5</t>
  </si>
  <si>
    <t xml:space="preserve">Viaje por la merced</t>
  </si>
  <si>
    <t xml:space="preserve">https://www.viator.com/es-MX/tours/Mexico-City/x/d628-248994P4</t>
  </si>
  <si>
    <t xml:space="preserve">Eating With Carmen Food Tours</t>
  </si>
  <si>
    <t xml:space="preserve">Tour gastronómico por el mercado de San Juan Ciudad de México : bocados y sabores exóticos</t>
  </si>
  <si>
    <t xml:space="preserve">https://www.eatingwithcarmen.com/</t>
  </si>
  <si>
    <t xml:space="preserve">@eatingwithcarmenfoodtours</t>
  </si>
  <si>
    <t xml:space="preserve">info@eatingwithcarmen.com</t>
  </si>
  <si>
    <t xml:space="preserve">529843107514</t>
  </si>
  <si>
    <t xml:space="preserve">https://www.viator.com/es-MX/tours/Mexico-City/x/d628-63355P16</t>
  </si>
  <si>
    <t xml:space="preserve">Tour gastronómico por la Ciudad de México: Centro histórico, patrimonio en un plato</t>
  </si>
  <si>
    <t xml:space="preserve">https://www.airbnb.com/experiences/7095171</t>
  </si>
  <si>
    <t xml:space="preserve">https://www.viator.com/es-MX/tours/Mexico-City/x/d628-63355P11</t>
  </si>
  <si>
    <t xml:space="preserve">https://www.getyourguide.com/es-mx/ciudad-de-mexico-l194/-t820609/</t>
  </si>
  <si>
    <t xml:space="preserve">Edgar &amp; Jared</t>
  </si>
  <si>
    <t xml:space="preserve">Mexico Queer &amp; Gay Culture</t>
  </si>
  <si>
    <t xml:space="preserve">https://www.airbnb.com/experiences/6354200</t>
  </si>
  <si>
    <t xml:space="preserve">Edgar MS</t>
  </si>
  <si>
    <t xml:space="preserve">La experiencia de la Edad de Oro en México : palacios, degustación de arte y pulque</t>
  </si>
  <si>
    <t xml:space="preserve">https://www.viator.com/es-MX/tours/Mexico-City/x/d628-5488662P3</t>
  </si>
  <si>
    <t xml:space="preserve">Edgar Santana</t>
  </si>
  <si>
    <t xml:space="preserve">Tour privado a pie por el centro histórico de la Ciudad de México</t>
  </si>
  <si>
    <t xml:space="preserve">https://www.viator.com/es-MX/tours/Mexico-City/x/d628-411841P1</t>
  </si>
  <si>
    <t xml:space="preserve">Educando con Cultura</t>
  </si>
  <si>
    <t xml:space="preserve">CDMX: Tour Mujeres Muralistas: Trazos que Resisten</t>
  </si>
  <si>
    <t xml:space="preserve">https://educandoconcultura.com/</t>
  </si>
  <si>
    <t xml:space="preserve">@educandoconcultura</t>
  </si>
  <si>
    <t xml:space="preserve">https://www.airbnb.com/experiences/6111940</t>
  </si>
  <si>
    <t xml:space="preserve">https://www.viator.com/es-MX/tours/Mexico-City/x/d628-165755P11</t>
  </si>
  <si>
    <t xml:space="preserve">https://www.getyourguide.com/es-mx/ciudad-de-mexico-l194/-t1078083/</t>
  </si>
  <si>
    <t xml:space="preserve">El mejor recorrido del centro histórico-Guided by a Storyteller</t>
  </si>
  <si>
    <t xml:space="preserve">https://www.viator.com/es-MX/tours/Mexico-City/x/d628-165755P14</t>
  </si>
  <si>
    <t xml:space="preserve">Tour a pie en centro histórico CDMX</t>
  </si>
  <si>
    <t xml:space="preserve">https://www.viator.com/es-MX/tours/Mexico-City/x/d628-165755P3</t>
  </si>
  <si>
    <t xml:space="preserve">Tour Evolución del Muralismo pinta tu Grafiti</t>
  </si>
  <si>
    <t xml:space="preserve">https://www.viator.com/es-MX/tours/Mexico-City/x/d628-165755P5</t>
  </si>
  <si>
    <t xml:space="preserve">Tour historia del Muralismo en México</t>
  </si>
  <si>
    <t xml:space="preserve">https://www.airbnb.com/experiences/6119582</t>
  </si>
  <si>
    <t xml:space="preserve">https://www.viator.com/es-MX/tours/Mexico-City/x/d628-165755P15</t>
  </si>
  <si>
    <t xml:space="preserve">Tour Murales del Palacio de Bellas Artes</t>
  </si>
  <si>
    <t xml:space="preserve">https://www.viator.com/es-MX/tours/Mexico-City/x/d628-165755P2</t>
  </si>
  <si>
    <t xml:space="preserve">Tour Museo Templo Mayor + Realidad virtual Tenochtitlán</t>
  </si>
  <si>
    <t xml:space="preserve">https://www.viator.com/es-MX/tours/Mexico-City/x/d628-165755P19</t>
  </si>
  <si>
    <t xml:space="preserve">Egasso Travel</t>
  </si>
  <si>
    <t xml:space="preserve">Cultura e historia queer de la Ciudad de México.</t>
  </si>
  <si>
    <t xml:space="preserve">https://www.getyourguide.com/es-mx/ciudad-de-mexico-l194/-t1243366/</t>
  </si>
  <si>
    <t xml:space="preserve">Ekinox Tours</t>
  </si>
  <si>
    <t xml:space="preserve">Ciudad de México: centro histórico, catedral y Museo del Muralismo</t>
  </si>
  <si>
    <t xml:space="preserve">https://www.viator.com/es-MX/tours/Mexico-City/x/d628-144472P74</t>
  </si>
  <si>
    <t xml:space="preserve">https://www.getyourguide.com/es-mx/ciudad-de-mexico-l194/-t1348842/</t>
  </si>
  <si>
    <t xml:space="preserve">El Mejor City Tour en CDMX</t>
  </si>
  <si>
    <t xml:space="preserve">CDMX: Paseo matutino por el centro histórico para madrugadores</t>
  </si>
  <si>
    <t xml:space="preserve">https://www.getyourguide.com/es-mx/ciudad-de-mexico-l194/-t1451730/</t>
  </si>
  <si>
    <t xml:space="preserve">https://www.viator.com/es-MX/tours/Mexico-City/x/d628-261287P8</t>
  </si>
  <si>
    <t xml:space="preserve">Private Tour Downtown Mexico City</t>
  </si>
  <si>
    <t xml:space="preserve">https://www.viator.com/es-MX/tours/Mexico-City/x/d628-261287P12</t>
  </si>
  <si>
    <t xml:space="preserve">Private Tour Museum of Fine Arts and Zocalo Pick up at your Hotel</t>
  </si>
  <si>
    <t xml:space="preserve">https://www.viator.com/es-MX/tours/Mexico-City/x/d628-261287P2</t>
  </si>
  <si>
    <t xml:space="preserve">Recorrido privado en el Centro Histórico de la Ciudad de México</t>
  </si>
  <si>
    <t xml:space="preserve">https://www.viator.com/es-MX/tours/Mexico-City/x/d628-261287P1</t>
  </si>
  <si>
    <t xml:space="preserve">Tour a pie por el centro de Ciudad de México</t>
  </si>
  <si>
    <t xml:space="preserve">https://www.viator.com/es-MX/tours/Mexico-City/x/d628-261287P11</t>
  </si>
  <si>
    <t xml:space="preserve">https://www.getyourguide.com/es-mx/ciudad-de-mexico-l194/-t1250758/</t>
  </si>
  <si>
    <t xml:space="preserve">El Taco Club</t>
  </si>
  <si>
    <t xml:space="preserve">Bicicleta para probar los mejores tacos del mundo - Ciudad de México</t>
  </si>
  <si>
    <t xml:space="preserve">https://www.eltaco.club/</t>
  </si>
  <si>
    <t xml:space="preserve">@eltacoclub</t>
  </si>
  <si>
    <t xml:space="preserve">hola@eltaco.club</t>
  </si>
  <si>
    <t xml:space="preserve">https://www.viator.com/es-MX/tours/Mexico-City/x/d628-86240P1</t>
  </si>
  <si>
    <t xml:space="preserve">https://www.airbnb.com/experiences/75047</t>
  </si>
  <si>
    <t xml:space="preserve">Frida Kahlo VIP [Entradas al museo incluidas] Bicicleta, Mercados y Churros</t>
  </si>
  <si>
    <t xml:space="preserve">https://www.viator.com/es-MX/tours/Mexico-City/x/d628-86240P3</t>
  </si>
  <si>
    <t xml:space="preserve">https://www.airbnb.com/experiences/558194</t>
  </si>
  <si>
    <t xml:space="preserve">elcatrinpubcrawl</t>
  </si>
  <si>
    <t xml:space="preserve">Una mañana por la CDMX Vip +Tacos + Bebidas Calientes.</t>
  </si>
  <si>
    <t xml:space="preserve">https://www.viator.com/es-MX/tours/Mexico-City/x/d628-5517524P1</t>
  </si>
  <si>
    <t xml:space="preserve">Electric Bike Tours CDMX</t>
  </si>
  <si>
    <t xml:space="preserve">El mejor recorrido en bicicleta eléctrica por la Ciudad de México con tacos y churros</t>
  </si>
  <si>
    <t xml:space="preserve">https://electricbiketours.com.mx/</t>
  </si>
  <si>
    <t xml:space="preserve">@ebiketourscdmx</t>
  </si>
  <si>
    <t xml:space="preserve">contacto@electricbiketours.com.mx</t>
  </si>
  <si>
    <t xml:space="preserve">525519283195</t>
  </si>
  <si>
    <t xml:space="preserve">https://www.getyourguide.com/es-mx/ciudad-de-mexico-l194/-t409221/</t>
  </si>
  <si>
    <t xml:space="preserve">https://www.airbnb.com/experiences/180368</t>
  </si>
  <si>
    <t xml:space="preserve">Encuentro Tours</t>
  </si>
  <si>
    <t xml:space="preserve">Tour nocturno por Ciudad de Mexico</t>
  </si>
  <si>
    <t xml:space="preserve">welcome2mexico@encuentro.com.mx</t>
  </si>
  <si>
    <t xml:space="preserve">https://www.civitatis.com/es/ciudad-de-mexico/tour-nocturno-ciudad-mexico/</t>
  </si>
  <si>
    <t xml:space="preserve">Enjoy&amp;Live Tours</t>
  </si>
  <si>
    <t xml:space="preserve">Verdadero tour gastronómico por la ciudad de México en joyas escondidas para grupos pequeños</t>
  </si>
  <si>
    <t xml:space="preserve">https://www.viator.com/es-MX/tours/Mexico-City/x/d628-441609P23</t>
  </si>
  <si>
    <t xml:space="preserve">Enrique — Tlatelolco: History, Cinema and Living Memory</t>
  </si>
  <si>
    <t xml:space="preserve">Tlatelolco: History, Cinema and Living Memory</t>
  </si>
  <si>
    <t xml:space="preserve">https://www.airbnb.com/experiences/6960341</t>
  </si>
  <si>
    <t xml:space="preserve">Epic Journey</t>
  </si>
  <si>
    <t xml:space="preserve">2 horas Tour Gastronómico Privado en la Ciudad de México (NUEVO TOUR!)</t>
  </si>
  <si>
    <t xml:space="preserve">https://www.epicjourneytours.com/</t>
  </si>
  <si>
    <t xml:space="preserve">@epicjourneymexico</t>
  </si>
  <si>
    <t xml:space="preserve">https://www.viator.com/es-MX/tours/Mexico-City/x/d628-392103P8</t>
  </si>
  <si>
    <t xml:space="preserve">Visita al Palacio Nacional y explora el centro de la ciudad de México</t>
  </si>
  <si>
    <t xml:space="preserve">https://www.viator.com/es-MX/tours/Mexico-City/x/d628-5581881P2</t>
  </si>
  <si>
    <t xml:space="preserve">Erika</t>
  </si>
  <si>
    <t xml:space="preserve">Sketching Tour Mexico City</t>
  </si>
  <si>
    <t xml:space="preserve">https://www.airbnb.com/experiences/851081</t>
  </si>
  <si>
    <t xml:space="preserve">Wander historic Mexico City's Downtown</t>
  </si>
  <si>
    <t xml:space="preserve">https://www.airbnb.com/experiences/1354606</t>
  </si>
  <si>
    <t xml:space="preserve">Ernesto Isaías — Discover Mexico's great muralists</t>
  </si>
  <si>
    <t xml:space="preserve">Discover Mexico's great muralists</t>
  </si>
  <si>
    <t xml:space="preserve">https://www.airbnb.com/experiences/6338536</t>
  </si>
  <si>
    <t xml:space="preserve">Discover the Non-Muralist Muralists</t>
  </si>
  <si>
    <t xml:space="preserve">https://www.airbnb.com/experiences/6896442</t>
  </si>
  <si>
    <t xml:space="preserve">Estación México</t>
  </si>
  <si>
    <t xml:space="preserve">Free tour por Ciudad de Mexico</t>
  </si>
  <si>
    <t xml:space="preserve">https://www.estacionmexico.com.mx/</t>
  </si>
  <si>
    <t xml:space="preserve">@estacionmexico</t>
  </si>
  <si>
    <t xml:space="preserve">contacto@estacionmexico.com.mx</t>
  </si>
  <si>
    <t xml:space="preserve">https://www.civitatis.com/es/ciudad-de-mexico/free-tour-ciudad-mexico/</t>
  </si>
  <si>
    <t xml:space="preserve">Free tour por el bosque de Chapultepec la Zona Rosa y el Paseo de la Reforma</t>
  </si>
  <si>
    <t xml:space="preserve">https://www.civitatis.com/es/ciudad-de-mexico/free-tour-chapultepec/</t>
  </si>
  <si>
    <t xml:space="preserve">Tour de Murales de la Ciudad de México: Descubre a Diego Rivera</t>
  </si>
  <si>
    <t xml:space="preserve">https://www.viator.com/es-MX/tours/Mexico-City/x/d628-19861P6</t>
  </si>
  <si>
    <t xml:space="preserve">Europe prime tours</t>
  </si>
  <si>
    <t xml:space="preserve">Tour Cultural e Histórico Privado por la Ciudad de México con Transporte</t>
  </si>
  <si>
    <t xml:space="preserve">https://www.viator.com/es-MX/tours/Mexico-City/x/d628-21924P98</t>
  </si>
  <si>
    <t xml:space="preserve">Tour Privado por la Zona Arqueológica de Tlatelolco con Transporte</t>
  </si>
  <si>
    <t xml:space="preserve">https://www.viator.com/es-MX/tours/Mexico-City/x/d628-21924P100</t>
  </si>
  <si>
    <t xml:space="preserve">Experiences Mexico</t>
  </si>
  <si>
    <t xml:space="preserve">Ciudad de México: tour nocturno de cantinas históricas y tacos</t>
  </si>
  <si>
    <t xml:space="preserve">https://www.getyourguide.com/es-mx/ciudad-de-mexico-l194/-t1452899/</t>
  </si>
  <si>
    <t xml:space="preserve">Ciudad de México: Tour nocturno por Garibaldi con espectáculo de mariachis y tacos</t>
  </si>
  <si>
    <t xml:space="preserve">https://www.getyourguide.com/es-mx/ciudad-de-mexico-l194/-t1454011/</t>
  </si>
  <si>
    <t xml:space="preserve">Experiencias</t>
  </si>
  <si>
    <t xml:space="preserve">Visita el Museo Templo Mayor con Apasionados de Historia</t>
  </si>
  <si>
    <t xml:space="preserve">https://www.viator.com/es-MX/tours/Mexico-City/x/d628-478601P2</t>
  </si>
  <si>
    <t xml:space="preserve">Father &amp; Son Tours</t>
  </si>
  <si>
    <t xml:space="preserve">Recorrido turístico por la Plaza Garibaldi</t>
  </si>
  <si>
    <t xml:space="preserve">https://www.getyourguide.com/es-mx/ciudad-de-mexico-l194/-t685149/</t>
  </si>
  <si>
    <t xml:space="preserve">Febo — Taste Authentic Street Food in Centro Histórico</t>
  </si>
  <si>
    <t xml:space="preserve">Taste Authentic Street Food in Centro Histórico</t>
  </si>
  <si>
    <t xml:space="preserve">https://www.airbnb.com/experiences/294209</t>
  </si>
  <si>
    <t xml:space="preserve">FEELCDMX</t>
  </si>
  <si>
    <t xml:space="preserve">Ciudad de México: explora el barrio de Tepito con un lugareño</t>
  </si>
  <si>
    <t xml:space="preserve">https://feelcdmx.com/</t>
  </si>
  <si>
    <t xml:space="preserve">https://www.viator.com/es-MX/tours/Mexico-City/x/d628-362096P1</t>
  </si>
  <si>
    <t xml:space="preserve">https://www.getyourguide.com/es-mx/ciudad-de-mexico-l194/-t473019/</t>
  </si>
  <si>
    <t xml:space="preserve">https://www.airbnb.com/experiences/7236886</t>
  </si>
  <si>
    <t xml:space="preserve">Food Hood Tours</t>
  </si>
  <si>
    <t xml:space="preserve">México fuera de lo común / Tour en bicicleta de comida callejera</t>
  </si>
  <si>
    <t xml:space="preserve">https://foodhoodtours.com/</t>
  </si>
  <si>
    <t xml:space="preserve">@foodhoodmexico</t>
  </si>
  <si>
    <t xml:space="preserve">hola@foodhoodtours.com</t>
  </si>
  <si>
    <t xml:space="preserve">525540013430</t>
  </si>
  <si>
    <t xml:space="preserve">https://www.getyourguide.com/es-mx/ciudad-de-mexico-l194/-t465534/</t>
  </si>
  <si>
    <t xml:space="preserve">https://www.viator.com/es-MX/tours/Mexico-City/x/d628-247821P3</t>
  </si>
  <si>
    <t xml:space="preserve">Mexico is not only tacos</t>
  </si>
  <si>
    <t xml:space="preserve">https://www.airbnb.com/experiences/1563844</t>
  </si>
  <si>
    <t xml:space="preserve">Tour en bicicleta de comida callejera por la Ciudad de México</t>
  </si>
  <si>
    <t xml:space="preserve">https://www.viator.com/es-MX/tours/Mexico-City/x/d628-247821P1</t>
  </si>
  <si>
    <t xml:space="preserve">https://www.getyourguide.com/es-mx/ciudad-de-mexico-l194/-t464296/</t>
  </si>
  <si>
    <t xml:space="preserve">Tour en Bicicleta Michelin Taco: Roma Norte y Condesa /Todo Incluido.</t>
  </si>
  <si>
    <t xml:space="preserve">https://www.airbnb.com/experiences/7028685</t>
  </si>
  <si>
    <t xml:space="preserve">https://www.viator.com/es-MX/tours/Mexico-City/x/d628-247821P4</t>
  </si>
  <si>
    <t xml:space="preserve">Tour nocturno en bicicleta de comida callejera en la Ciudad de México</t>
  </si>
  <si>
    <t xml:space="preserve">https://www.airbnb.com/experiences/1576954</t>
  </si>
  <si>
    <t xml:space="preserve">https://www.getyourguide.com/es-mx/ciudad-de-mexico-l194/-t601134/</t>
  </si>
  <si>
    <t xml:space="preserve">https://www.viator.com/es-MX/tours/Mexico-City/x/d628-247821P2</t>
  </si>
  <si>
    <t xml:space="preserve">Free Tour Europe</t>
  </si>
  <si>
    <t xml:space="preserve">Centro Histórico de CDMX: Tour a pie con guía local profesional</t>
  </si>
  <si>
    <t xml:space="preserve">https://freetoureurope.com/ciudad-de-mexico/</t>
  </si>
  <si>
    <t xml:space="preserve">info@freetoureurope.com</t>
  </si>
  <si>
    <t xml:space="preserve">https://www.getyourguide.com/es-mx/ciudad-de-mexico-l194/-t1133082/</t>
  </si>
  <si>
    <t xml:space="preserve">Free Tour Mexico City</t>
  </si>
  <si>
    <t xml:space="preserve">Tour del pulque el tequila y el mezcal  Mercado de artesania</t>
  </si>
  <si>
    <t xml:space="preserve">https://freetourmexico.com/</t>
  </si>
  <si>
    <t xml:space="preserve">@freetourmexico</t>
  </si>
  <si>
    <t xml:space="preserve">freetourmexico@gmail.com</t>
  </si>
  <si>
    <t xml:space="preserve">525517855455</t>
  </si>
  <si>
    <t xml:space="preserve">https://www.civitatis.com/es/ciudad-de-mexico/tour-pulque-ciudad-mexico/</t>
  </si>
  <si>
    <t xml:space="preserve">Tour privado de 2 horas por el centro histórico de la Ciudad de México</t>
  </si>
  <si>
    <t xml:space="preserve">https://www.viator.com/es-MX/tours/Mexico-City/x/d628-127785P26</t>
  </si>
  <si>
    <t xml:space="preserve">Tour privado por Ciudad de Mexico</t>
  </si>
  <si>
    <t xml:space="preserve">https://www.civitatis.com/es/ciudad-de-mexico/tour-privado-ciudad-mexico/</t>
  </si>
  <si>
    <t xml:space="preserve">Tour Privado por el Templo Mayor en la Ciudad de México</t>
  </si>
  <si>
    <t xml:space="preserve">https://www.viator.com/es-MX/tours/Mexico-City/x/d628-136557P20</t>
  </si>
  <si>
    <t xml:space="preserve">Tour privado: Teleférico, Museo Urbano, Mercado Local - Mejor Valorado</t>
  </si>
  <si>
    <t xml:space="preserve">https://www.viator.com/es-MX/tours/Mexico-City/x/d628-136557P14</t>
  </si>
  <si>
    <t xml:space="preserve">Frida Tours</t>
  </si>
  <si>
    <t xml:space="preserve">Tour en bicicleta por el Castillo de Chapultepec o Museo de Antropología</t>
  </si>
  <si>
    <t xml:space="preserve">https://toursfrida.com/</t>
  </si>
  <si>
    <t xml:space="preserve">@tours.frida</t>
  </si>
  <si>
    <t xml:space="preserve">info@toursfrida.com</t>
  </si>
  <si>
    <t xml:space="preserve">525571938397</t>
  </si>
  <si>
    <t xml:space="preserve">https://www.viator.com/es-MX/tours/Mexico-City/x/d628-337826P14</t>
  </si>
  <si>
    <t xml:space="preserve">Visita privada al Centro de la Ciudad de México + Palacio de Bellas Artes</t>
  </si>
  <si>
    <t xml:space="preserve">https://www.viator.com/es-MX/tours/Mexico-City/x/d628-337826P11</t>
  </si>
  <si>
    <t xml:space="preserve">Frida VIP</t>
  </si>
  <si>
    <t xml:space="preserve">CDMX: Coyoacán en bicicleta o a pie con lugareños, churros y Museo Frida</t>
  </si>
  <si>
    <t xml:space="preserve">https://fridavip.com/</t>
  </si>
  <si>
    <t xml:space="preserve">https://www.getyourguide.com/es-mx/ciudad-de-mexico-l194/-t943668/</t>
  </si>
  <si>
    <t xml:space="preserve">https://www.viator.com/es-MX/tours/Mexico-City/x/d628-5561639P1</t>
  </si>
  <si>
    <t xml:space="preserve">Friends Guides</t>
  </si>
  <si>
    <t xml:space="preserve">Taco Night and Mariachi Show in Garibaldi</t>
  </si>
  <si>
    <t xml:space="preserve">https://friendsguides.com/</t>
  </si>
  <si>
    <t xml:space="preserve">@friendsguides</t>
  </si>
  <si>
    <t xml:space="preserve">525517034026</t>
  </si>
  <si>
    <t xml:space="preserve">https://www.airbnb.com/experiences/2031623</t>
  </si>
  <si>
    <t xml:space="preserve">Gabriel &amp; Estefanía (La Merced)</t>
  </si>
  <si>
    <t xml:space="preserve">Local Food Tour at Mexico’s 2nd Largest Market</t>
  </si>
  <si>
    <t xml:space="preserve">https://cdmxmemories.com/about</t>
  </si>
  <si>
    <t xml:space="preserve">contacto@cdmx.com</t>
  </si>
  <si>
    <t xml:space="preserve">https://www.airbnb.com/experiences/5598695</t>
  </si>
  <si>
    <t xml:space="preserve">Gerardo — Journey through La Merced with a local architect</t>
  </si>
  <si>
    <t xml:space="preserve">Journey through La Merced with a local architect</t>
  </si>
  <si>
    <t xml:space="preserve">https://palanca.mx/pages/nosotros</t>
  </si>
  <si>
    <t xml:space="preserve">@palanca.mx</t>
  </si>
  <si>
    <t xml:space="preserve">hola@palanca.mx</t>
  </si>
  <si>
    <t xml:space="preserve">https://www.airbnb.com/experiences/6235297</t>
  </si>
  <si>
    <t xml:space="preserve">GoforaJourney</t>
  </si>
  <si>
    <t xml:space="preserve">Tour de Tacos por el Zócalo de la Ciudad de México</t>
  </si>
  <si>
    <t xml:space="preserve">https://www.viator.com/es-MX/tours/Mexico-City/x/d628-468682P8</t>
  </si>
  <si>
    <t xml:space="preserve">Greenway Segway Tours</t>
  </si>
  <si>
    <t xml:space="preserve">Ciudad de México: tour en Segway por el Paseo de la Reforma</t>
  </si>
  <si>
    <t xml:space="preserve">https://www.greenway.com.mx</t>
  </si>
  <si>
    <t xml:space="preserve">@greenwaytours_mx</t>
  </si>
  <si>
    <t xml:space="preserve">paulina@greenway.com.mx</t>
  </si>
  <si>
    <t xml:space="preserve">https://www.getyourguide.com/es-mx/ciudad-de-mexico-l194/-t1189790/</t>
  </si>
  <si>
    <t xml:space="preserve">Tour en segway por Ciudad de Mexico</t>
  </si>
  <si>
    <t xml:space="preserve">https://www.civitatis.com/es/ciudad-de-mexico/tour-segway-ciudad-mexico/</t>
  </si>
  <si>
    <t xml:space="preserve">Guillermo — Ballet, Museum and Pizza</t>
  </si>
  <si>
    <t xml:space="preserve">Ballet, Museum and Pizza</t>
  </si>
  <si>
    <t xml:space="preserve">https://www.airbnb.com/experiences/6741278</t>
  </si>
  <si>
    <t xml:space="preserve">Guydeez</t>
  </si>
  <si>
    <t xml:space="preserve">Ciudad de México Mejor tour gastronómico privado con guía</t>
  </si>
  <si>
    <t xml:space="preserve">https://guydeez.com/</t>
  </si>
  <si>
    <t xml:space="preserve">@guydeez</t>
  </si>
  <si>
    <t xml:space="preserve">info@guydeez.com</t>
  </si>
  <si>
    <t xml:space="preserve">https://www.viator.com/es-MX/tours/Mexico-City/x/d628-104357P293</t>
  </si>
  <si>
    <t xml:space="preserve">Hidden Mexico Tours</t>
  </si>
  <si>
    <t xml:space="preserve">CDMX: Explora los tesoros escondidos del centro de la ciudad con un arqueólogo</t>
  </si>
  <si>
    <t xml:space="preserve">https://www.getyourguide.com/es-mx/ciudad-de-mexico-l194/-t1442446/</t>
  </si>
  <si>
    <t xml:space="preserve">Ciudad de México: tour sobre el muralismo mexicano con un historiador del arte</t>
  </si>
  <si>
    <t xml:space="preserve">https://www.getyourguide.com/es-mx/ciudad-de-mexico-l194/-t1392085/</t>
  </si>
  <si>
    <t xml:space="preserve">Historia Itinerante</t>
  </si>
  <si>
    <t xml:space="preserve">Tour a pie por edificios históricos y murales en CDMX</t>
  </si>
  <si>
    <t xml:space="preserve">https://www.getyourguide.com/es-mx/ciudad-de-mexico-l194/-t1114582/</t>
  </si>
  <si>
    <t xml:space="preserve">Tour Histórico Mexicano Compartido</t>
  </si>
  <si>
    <t xml:space="preserve">https://www.viator.com/es-MX/tours/Mexico-City/x/d628-5637435P2</t>
  </si>
  <si>
    <t xml:space="preserve">Historiador (Tlatelolco y Lagunilla)</t>
  </si>
  <si>
    <t xml:space="preserve">Roam Tlatelolco and La Lagunilla with a historian</t>
  </si>
  <si>
    <t xml:space="preserve">https://www.airbnb.com/experiences/7058649</t>
  </si>
  <si>
    <t xml:space="preserve">HOLA WALKING TOURS</t>
  </si>
  <si>
    <t xml:space="preserve">VISITA GUIADA PLUS en RUINAS TEMPLO MAYOR con GUÍAS OFICIALES</t>
  </si>
  <si>
    <t xml:space="preserve">https://holawalkingtours.com/</t>
  </si>
  <si>
    <t xml:space="preserve">@holawalkingtours</t>
  </si>
  <si>
    <t xml:space="preserve">Holaguide.booking@gmail.com</t>
  </si>
  <si>
    <t xml:space="preserve">525539881396</t>
  </si>
  <si>
    <t xml:space="preserve">https://www.viator.com/es-MX/tours/Mexico-City/x/d628-351331P9</t>
  </si>
  <si>
    <t xml:space="preserve">Indrani — The History of the Center through its Buildings</t>
  </si>
  <si>
    <t xml:space="preserve">The History of the Center through its Buildings</t>
  </si>
  <si>
    <t xml:space="preserve">https://www.indyodyssey.com/mexico</t>
  </si>
  <si>
    <t xml:space="preserve">https://www.airbnb.com/experiences/402991</t>
  </si>
  <si>
    <t xml:space="preserve">Ines — Coyoacán by Bicycle:  History &amp; Ancestral Mexico</t>
  </si>
  <si>
    <t xml:space="preserve">Coyoacán by Bicycle:  History &amp; Ancestral Mexico</t>
  </si>
  <si>
    <t xml:space="preserve">https://www.airbnb.com/experiences/7118839</t>
  </si>
  <si>
    <t xml:space="preserve">Intrepid Urban Adventures</t>
  </si>
  <si>
    <t xml:space="preserve">Secretos del mercado de la Ciudad de México, comida callejera y clases de salsa</t>
  </si>
  <si>
    <t xml:space="preserve">https://www.urbanadventures.com/en</t>
  </si>
  <si>
    <t xml:space="preserve">@urbanadventures</t>
  </si>
  <si>
    <t xml:space="preserve">info@urbanadventures.com</t>
  </si>
  <si>
    <t xml:space="preserve">https://www.viator.com/es-MX/tours/Mexico-City/x/d628-5207P60</t>
  </si>
  <si>
    <t xml:space="preserve">Isaias Aguilar</t>
  </si>
  <si>
    <t xml:space="preserve">Tour Street Art: the Hidden Face of Mexico City</t>
  </si>
  <si>
    <t xml:space="preserve">https://www.getyourguide.com/es-mx/ciudad-de-mexico-l194/-t827183/</t>
  </si>
  <si>
    <t xml:space="preserve">Ismael — Uncover Mexico City's historic heart on foot</t>
  </si>
  <si>
    <t xml:space="preserve">Uncover Mexico City's historic heart on foot</t>
  </si>
  <si>
    <t xml:space="preserve">https://www.airbnb.com/experiences/2729170</t>
  </si>
  <si>
    <t xml:space="preserve">Jafet Aaron — Tepito Chido: History, Food, and Local Culture</t>
  </si>
  <si>
    <t xml:space="preserve">Tepito Chido: History, Food, and Local Culture</t>
  </si>
  <si>
    <t xml:space="preserve">https://www.airbnb.com/experiences/6640849</t>
  </si>
  <si>
    <t xml:space="preserve">Jaime — Explore the Historic Center in Virtual Reality</t>
  </si>
  <si>
    <t xml:space="preserve">Explore the Historic Center in Virtual Reality</t>
  </si>
  <si>
    <t xml:space="preserve">https://www.airbnb.com/experiences/6275373</t>
  </si>
  <si>
    <t xml:space="preserve">Templo Mayor VR Experience Tenochtitlán</t>
  </si>
  <si>
    <t xml:space="preserve">https://www.airbnb.com/experiences/6949882</t>
  </si>
  <si>
    <t xml:space="preserve">Jesús &amp; Axel Didriksson (tacos Centro)</t>
  </si>
  <si>
    <t xml:space="preserve">My love for tacos in downtown Mexico City</t>
  </si>
  <si>
    <t xml:space="preserve">https://www.airbnb.com/experiences/118986</t>
  </si>
  <si>
    <t xml:space="preserve">Jorge — Like locals do… centro CDMX</t>
  </si>
  <si>
    <t xml:space="preserve">Like locals do… centro CDMX</t>
  </si>
  <si>
    <t xml:space="preserve">https://www.airbnb.com/experiences/283052</t>
  </si>
  <si>
    <t xml:space="preserve">Jorge A</t>
  </si>
  <si>
    <t xml:space="preserve">Mercados y Delicias Ocultas en Ciudad de México</t>
  </si>
  <si>
    <t xml:space="preserve">https://www.viator.com/es-MX/tours/Mexico-City/x/d628-440442P2</t>
  </si>
  <si>
    <t xml:space="preserve">Jorge Alberto — Tepito: Eating and touring the brave neighborhoo</t>
  </si>
  <si>
    <t xml:space="preserve">Tepito: Eating and touring the brave neighborhood</t>
  </si>
  <si>
    <t xml:space="preserve">https://www.airbnb.com/experiences/6809077</t>
  </si>
  <si>
    <t xml:space="preserve">Jorge Barmoll</t>
  </si>
  <si>
    <t xml:space="preserve">El mejor y más completo CITY TOUR PRIVADO por Centro Histórico</t>
  </si>
  <si>
    <t xml:space="preserve">https://vcard.mx/vc/barmoll-servicios-turisticos-la-mejor-mejor-manera-de-conocer-mexico-especialista-en-tours-privados-VC890201</t>
  </si>
  <si>
    <t xml:space="preserve">bmgeorgebm@hotmail.com</t>
  </si>
  <si>
    <t xml:space="preserve">https://www.viator.com/es-MX/tours/Mexico-City/x/d628-382677P1</t>
  </si>
  <si>
    <t xml:space="preserve">Tour privado a pie por el centro histórico de CDMX: leyendas y eventos</t>
  </si>
  <si>
    <t xml:space="preserve">https://www.getyourguide.com/es-mx/ciudad-de-mexico-l194/-t476374/</t>
  </si>
  <si>
    <t xml:space="preserve">https://www.viator.com/es-MX/tours/Mexico-City/x/d628-382677P2</t>
  </si>
  <si>
    <t xml:space="preserve">Jorge Luis</t>
  </si>
  <si>
    <t xml:space="preserve">Historic Center Walking Tour: Anecdotes and Facts</t>
  </si>
  <si>
    <t xml:space="preserve">https://www.airbnb.com/experiences/2588659</t>
  </si>
  <si>
    <t xml:space="preserve">Magical Mexico: A Walk Through Magic and Religion</t>
  </si>
  <si>
    <t xml:space="preserve">https://www.airbnb.com/experiences/7265563</t>
  </si>
  <si>
    <t xml:space="preserve">Templo Mayor Museum with Archaeologist</t>
  </si>
  <si>
    <t xml:space="preserve">https://www.airbnb.com/experiences/6253188</t>
  </si>
  <si>
    <t xml:space="preserve">Jorge Luis Barbosa Mollinedo</t>
  </si>
  <si>
    <t xml:space="preserve">Tour de las leyendas de Ciudad de Mexico</t>
  </si>
  <si>
    <t xml:space="preserve">525576162808</t>
  </si>
  <si>
    <t xml:space="preserve">https://www.civitatis.com/es/ciudad-de-mexico/tour-leyendas-ciudad-mexico/</t>
  </si>
  <si>
    <t xml:space="preserve">Jos — Discovering the historic center</t>
  </si>
  <si>
    <t xml:space="preserve">Discovering the historic center</t>
  </si>
  <si>
    <t xml:space="preserve">https://www.airbnb.com/experiences/6927829</t>
  </si>
  <si>
    <t xml:space="preserve">Jose Miguel — Walking Tour-Mexico's History: Icons &amp; Hidden Ge</t>
  </si>
  <si>
    <t xml:space="preserve">Walking Tour-Mexico's History: Icons &amp; Hidden Gems</t>
  </si>
  <si>
    <t xml:space="preserve">https://www.airbnb.com/experiences/1506635</t>
  </si>
  <si>
    <t xml:space="preserve">José Vicente Figueroa (GM International Travel)</t>
  </si>
  <si>
    <t xml:space="preserve">2 Horas del Muralismo Mexicano con un amante del arte</t>
  </si>
  <si>
    <t xml:space="preserve">https://gminternationaltravel.com</t>
  </si>
  <si>
    <t xml:space="preserve">@gminternationaltravel</t>
  </si>
  <si>
    <t xml:space="preserve">info@gminternationaltravel.com</t>
  </si>
  <si>
    <t xml:space="preserve">https://www.viator.com/es-MX/tours/Mexico-City/x/d628-484367P1</t>
  </si>
  <si>
    <t xml:space="preserve">Ciudad de México: tour guiado por el Museo Nacional de Arte</t>
  </si>
  <si>
    <t xml:space="preserve">https://www.getyourguide.com/es-mx/ciudad-de-mexico-l194/-t704179/</t>
  </si>
  <si>
    <t xml:space="preserve">Diego Rivera en el Museo Vivo del Muralismo</t>
  </si>
  <si>
    <t xml:space="preserve">https://www.viator.com/es-MX/tours/Mexico-City/x/d628-484367P10</t>
  </si>
  <si>
    <t xml:space="preserve">La cosmología viva de Tlatelolco y el Templo Mayor (CDMX)</t>
  </si>
  <si>
    <t xml:space="preserve">https://www.getyourguide.com/es-mx/ciudad-de-mexico-l194/-t1347423/</t>
  </si>
  <si>
    <t xml:space="preserve">Paseo en bicicleta por Reforma y Chapultepec</t>
  </si>
  <si>
    <t xml:space="preserve">https://www.getyourguide.com/es-mx/ciudad-de-mexico-l194/-t669432/</t>
  </si>
  <si>
    <t xml:space="preserve">Visita guiada por el Museo Nacional de Arte</t>
  </si>
  <si>
    <t xml:space="preserve">https://www.civitatis.com/es/ciudad-de-mexico/visita-guiada-museo-nacional-arte/</t>
  </si>
  <si>
    <t xml:space="preserve">Juan — Food tasting tour in local hidden gems</t>
  </si>
  <si>
    <t xml:space="preserve">Food tasting tour in local hidden gems</t>
  </si>
  <si>
    <t xml:space="preserve">https://www.airbnb.com/experiences/6980006</t>
  </si>
  <si>
    <t xml:space="preserve">Kactus Tours</t>
  </si>
  <si>
    <t xml:space="preserve">Ciudad de México: Tour a pie guiado por lo más histórico de la ciudad</t>
  </si>
  <si>
    <t xml:space="preserve">https://kactus.com.mx/</t>
  </si>
  <si>
    <t xml:space="preserve">@kactustour.mx</t>
  </si>
  <si>
    <t xml:space="preserve">kactustour.mx@gmail.com</t>
  </si>
  <si>
    <t xml:space="preserve">https://www.getyourguide.com/es-mx/ciudad-de-mexico-l194/-t837822/</t>
  </si>
  <si>
    <t xml:space="preserve">https://www.viator.com/es-MX/tours/Mexico-City/x/d628-123419P7</t>
  </si>
  <si>
    <t xml:space="preserve">Free tour de tacos mexicanos</t>
  </si>
  <si>
    <t xml:space="preserve">https://www.civitatis.com/es/ciudad-de-mexico/free-tour-tacos-mexicanos/</t>
  </si>
  <si>
    <t xml:space="preserve">Tour gastronomico por Ciudad de Mexico</t>
  </si>
  <si>
    <t xml:space="preserve">https://www.civitatis.com/es/ciudad-de-mexico/tour-gastronomico/</t>
  </si>
  <si>
    <t xml:space="preserve">Karina — Tour the Downtown Area like a local</t>
  </si>
  <si>
    <t xml:space="preserve">Tour the Downtown Area like a local</t>
  </si>
  <si>
    <t xml:space="preserve">https://www.airbnb.com/experiences/1199324</t>
  </si>
  <si>
    <t xml:space="preserve">Karis Terrés</t>
  </si>
  <si>
    <t xml:space="preserve">Tour por el Centro Historico de Ciudad de Mexico</t>
  </si>
  <si>
    <t xml:space="preserve">https://www.viator.com/es-MX/tours/Mexico-City/x/d628-416448P1</t>
  </si>
  <si>
    <t xml:space="preserve">Kuro Travel</t>
  </si>
  <si>
    <t xml:space="preserve">Ciudad de México: Walking Tour Centro Histórico "El paso de la CDMX"</t>
  </si>
  <si>
    <t xml:space="preserve">https://www.getyourguide.com/es-mx/ciudad-de-mexico-l194/-t994569/</t>
  </si>
  <si>
    <t xml:space="preserve">Lando — CDMX tour with a local, highlights &amp; hidden gems</t>
  </si>
  <si>
    <t xml:space="preserve">CDMX tour with a local, highlights &amp; hidden gems</t>
  </si>
  <si>
    <t xml:space="preserve">https://www.airbnb.com/experiences/7212739</t>
  </si>
  <si>
    <t xml:space="preserve">Lechuga Tours</t>
  </si>
  <si>
    <t xml:space="preserve">Centro Histórico de la CDMX: tour de lunes a pie por el corazón de México</t>
  </si>
  <si>
    <t xml:space="preserve">https://www.getyourguide.com/es-mx/ciudad-de-mexico-l194/-t1469343/</t>
  </si>
  <si>
    <t xml:space="preserve">Lucrecia Pearson — Bike tour of graffiti and local tacos</t>
  </si>
  <si>
    <t xml:space="preserve">Bike tour of graffiti and local tacos</t>
  </si>
  <si>
    <t xml:space="preserve">https://www.airbnb.com/experiences/6264603</t>
  </si>
  <si>
    <t xml:space="preserve">Luis — The Hidden Baroque Masterpieces of Mexico City</t>
  </si>
  <si>
    <t xml:space="preserve">The Hidden Baroque Masterpieces of Mexico City</t>
  </si>
  <si>
    <t xml:space="preserve">https://www.airbnb.com/experiences/5915396</t>
  </si>
  <si>
    <t xml:space="preserve">Luis Alberto — Bike through the Zócalo</t>
  </si>
  <si>
    <t xml:space="preserve">Bike through the Zócalo</t>
  </si>
  <si>
    <t xml:space="preserve">https://www.airbnb.com/experiences/5734130</t>
  </si>
  <si>
    <t xml:space="preserve">Luis Carlos Eduardo</t>
  </si>
  <si>
    <t xml:space="preserve">Walk Mexico City  Historic Center with a Historian</t>
  </si>
  <si>
    <t xml:space="preserve">https://www.airbnb.com/experiences/4715473</t>
  </si>
  <si>
    <t xml:space="preserve">Luis Rodrigo — Uncover the Secrets of the Mexica Aztecs</t>
  </si>
  <si>
    <t xml:space="preserve">Uncover the Secrets of the Mexica Aztecs</t>
  </si>
  <si>
    <t xml:space="preserve">https://www.airbnb.com/experiences/7067862</t>
  </si>
  <si>
    <t xml:space="preserve">Máan Tours</t>
  </si>
  <si>
    <t xml:space="preserve">Barrio Judío de la Ciudad de México: Tour Privado</t>
  </si>
  <si>
    <t xml:space="preserve">https://maantours.com/</t>
  </si>
  <si>
    <t xml:space="preserve">@maan_tours</t>
  </si>
  <si>
    <t xml:space="preserve">info@maantours.com</t>
  </si>
  <si>
    <t xml:space="preserve">525532583410</t>
  </si>
  <si>
    <t xml:space="preserve">https://www.getyourguide.com/es-mx/ciudad-de-mexico-l194/-t964209/</t>
  </si>
  <si>
    <t xml:space="preserve">Tour a pie "Centro Histórico. Ciudad de México"</t>
  </si>
  <si>
    <t xml:space="preserve">https://www.getyourguide.com/es-mx/ciudad-de-mexico-l194/-t712029/</t>
  </si>
  <si>
    <t xml:space="preserve">Magicmexicotours</t>
  </si>
  <si>
    <t xml:space="preserve">Bike tour en el Bosque de Chapultepec y la Roma Condesa</t>
  </si>
  <si>
    <t xml:space="preserve">@mexicomagicotours</t>
  </si>
  <si>
    <t xml:space="preserve">https://www.viator.com/es-MX/tours/Mexico-City/x/d628-475808P1</t>
  </si>
  <si>
    <t xml:space="preserve">Marc Elizalde</t>
  </si>
  <si>
    <t xml:space="preserve">Paseo Privado CDMX Centro Histórico con un Fotógrafo Local</t>
  </si>
  <si>
    <t xml:space="preserve">https://www.viator.com/es-MX/tours/Mexico-City/x/d628-5622226P5</t>
  </si>
  <si>
    <t xml:space="preserve">Marco</t>
  </si>
  <si>
    <t xml:space="preserve">El único tour vegano de degustación de tacos y mezcal</t>
  </si>
  <si>
    <t xml:space="preserve">https://www.viator.com/es-MX/tours/Mexico-City/x/d628-5538212P4</t>
  </si>
  <si>
    <t xml:space="preserve">Marco Polo Operadora</t>
  </si>
  <si>
    <t xml:space="preserve">Garibaldi by Night</t>
  </si>
  <si>
    <t xml:space="preserve">https://www.airbnb.com/experiences/7228671</t>
  </si>
  <si>
    <t xml:space="preserve">Garibaldi Night Experience</t>
  </si>
  <si>
    <t xml:space="preserve">https://www.airbnb.com/experiences/7231687</t>
  </si>
  <si>
    <t xml:space="preserve">Marcos</t>
  </si>
  <si>
    <t xml:space="preserve">Dive into urban cityscapes with an architect</t>
  </si>
  <si>
    <t xml:space="preserve">https://www.airbnb.com/experiences/6753682</t>
  </si>
  <si>
    <t xml:space="preserve">Maria Belen — Discover Mexico City with a Local Artist Guide</t>
  </si>
  <si>
    <t xml:space="preserve">Discover Mexico City with a Local Artist Guide</t>
  </si>
  <si>
    <t xml:space="preserve">https://www.airbnb.com/experiences/7038466</t>
  </si>
  <si>
    <t xml:space="preserve">María Fernanda — Shop La Juárez boutiques with a fashion editor</t>
  </si>
  <si>
    <t xml:space="preserve">Shop La Juárez boutiques with a fashion editor</t>
  </si>
  <si>
    <t xml:space="preserve">https://www.airbnb.com/experiences/5728744</t>
  </si>
  <si>
    <t xml:space="preserve">Mary&amp;Jasper</t>
  </si>
  <si>
    <t xml:space="preserve">Tour por el mercado de La Lagunilla Antigüedades, comida callejera y música</t>
  </si>
  <si>
    <t xml:space="preserve">https://www.viator.com/es-MX/tours/Mexico-City/x/d628-5668384P2</t>
  </si>
  <si>
    <t xml:space="preserve">Maxbikeride</t>
  </si>
  <si>
    <t xml:space="preserve">Tour privado en bicicleta por la Ciudad de México</t>
  </si>
  <si>
    <t xml:space="preserve">https://www.viator.com/es-MX/tours/Mexico-City/x/d628-5561667P1</t>
  </si>
  <si>
    <t xml:space="preserve">Maximo — Discover the Zócalo of CDMX and Mexico Tenochtit</t>
  </si>
  <si>
    <t xml:space="preserve">Discover the Zócalo of CDMX and Mexico Tenochtitlan</t>
  </si>
  <si>
    <t xml:space="preserve">https://www.airbnb.com/experiences/7099316</t>
  </si>
  <si>
    <t xml:space="preserve">Mayan Journey Adventures</t>
  </si>
  <si>
    <t xml:space="preserve">Ciudad de México: tour en bicicleta con clase de cocina y mezcal</t>
  </si>
  <si>
    <t xml:space="preserve">https://www.getyourguide.com/es-mx/ciudad-de-mexico-l194/-t1270948/</t>
  </si>
  <si>
    <t xml:space="preserve">Mex at Max</t>
  </si>
  <si>
    <t xml:space="preserve">Ciudad de México: el México judío, 500 años de llegada y supervivencia</t>
  </si>
  <si>
    <t xml:space="preserve">https://www.mexatmax.com/</t>
  </si>
  <si>
    <t xml:space="preserve">@mexatmax</t>
  </si>
  <si>
    <t xml:space="preserve">525513552122</t>
  </si>
  <si>
    <t xml:space="preserve">https://www.airbnb.com/experiences/1185331</t>
  </si>
  <si>
    <t xml:space="preserve">https://www.getyourguide.com/es-mx/ciudad-de-mexico-l194/-t763581/</t>
  </si>
  <si>
    <t xml:space="preserve">Ciudad de México: plazas gay</t>
  </si>
  <si>
    <t xml:space="preserve">https://www.airbnb.com/experiences/467513</t>
  </si>
  <si>
    <t xml:space="preserve">https://www.getyourguide.com/es-mx/ciudad-de-mexico-l194/-t763494/</t>
  </si>
  <si>
    <t xml:space="preserve">LGBTQ Side of History: Parks to Bars</t>
  </si>
  <si>
    <t xml:space="preserve">https://www.airbnb.com/experiences/946146</t>
  </si>
  <si>
    <t xml:space="preserve">Rooftop Bars: Centro from Above</t>
  </si>
  <si>
    <t xml:space="preserve">https://www.airbnb.com/experiences/1506962</t>
  </si>
  <si>
    <t xml:space="preserve">Mexican Tales</t>
  </si>
  <si>
    <t xml:space="preserve">Mexico City taco-tasting tour in Centro Histórico</t>
  </si>
  <si>
    <t xml:space="preserve">https://mexicantales.com/</t>
  </si>
  <si>
    <t xml:space="preserve">@mexican.tales</t>
  </si>
  <si>
    <t xml:space="preserve">info@mexicantales.com</t>
  </si>
  <si>
    <t xml:space="preserve">525574460696</t>
  </si>
  <si>
    <t xml:space="preserve">https://www.airbnb.com/experiences/3593280</t>
  </si>
  <si>
    <t xml:space="preserve">México a Pie Walking Tours</t>
  </si>
  <si>
    <t xml:space="preserve">Ciudad de México: tour a pie por el centro histórico de la ciudad</t>
  </si>
  <si>
    <t xml:space="preserve">https://mexicoapie.com/</t>
  </si>
  <si>
    <t xml:space="preserve">@mexicoapie</t>
  </si>
  <si>
    <t xml:space="preserve">tours@mexicoapie.com</t>
  </si>
  <si>
    <t xml:space="preserve">https://www.getyourguide.com/es-mx/ciudad-de-mexico-l194/-t395644/</t>
  </si>
  <si>
    <t xml:space="preserve">https://www.viator.com/es-MX/tours/Mexico-City/x/d628-41370P14</t>
  </si>
  <si>
    <t xml:space="preserve">Ciudad de México: tour a pie semiprivado por los murales de México</t>
  </si>
  <si>
    <t xml:space="preserve">https://www.viator.com/es-MX/tours/Mexico-City/x/d628-41370P5</t>
  </si>
  <si>
    <t xml:space="preserve">https://www.getyourguide.com/es-mx/ciudad-de-mexico-l194/-t472250/</t>
  </si>
  <si>
    <t xml:space="preserve">Excursión por Ciudad de México durante la escala: turismo por el centro de la ciudad</t>
  </si>
  <si>
    <t xml:space="preserve">https://www.viator.com/es-MX/tours/Mexico-City/x/d628-41370P6</t>
  </si>
  <si>
    <t xml:space="preserve">Recorrido a pie semiprivado por el Museo del Templo Mayor en el centro de la Ciudad de México</t>
  </si>
  <si>
    <t xml:space="preserve">https://www.viator.com/es-MX/tours/Mexico-City/x/d628-41370P15</t>
  </si>
  <si>
    <t xml:space="preserve">Recorrido privado a pie Colores de México: Zócalo, Palacio Nacional y arte</t>
  </si>
  <si>
    <t xml:space="preserve">https://www.viator.com/es-MX/tours/Mexico-City/x/d628-41370P2</t>
  </si>
  <si>
    <t xml:space="preserve">Tour de los murales de Ciudad de Mexico</t>
  </si>
  <si>
    <t xml:space="preserve">https://www.civitatis.com/es/ciudad-de-mexico/tour-murales-ciudad-mexico/</t>
  </si>
  <si>
    <t xml:space="preserve">Visita guiada por Ciudad de Mexico</t>
  </si>
  <si>
    <t xml:space="preserve">https://www.civitatis.com/es/ciudad-de-mexico/visita-guiada-ciudad-de-mexico/</t>
  </si>
  <si>
    <t xml:space="preserve">Mexico Bike Tour</t>
  </si>
  <si>
    <t xml:space="preserve">Ciudad de México: tour guiado en bici con teleférico y tacos</t>
  </si>
  <si>
    <t xml:space="preserve">https://mexicobiketour.com.mx/en/</t>
  </si>
  <si>
    <t xml:space="preserve">525524281488</t>
  </si>
  <si>
    <t xml:space="preserve">https://www.getyourguide.com/es-mx/ciudad-de-mexico-l194/-t1416749/</t>
  </si>
  <si>
    <t xml:space="preserve">Mexico City Tour</t>
  </si>
  <si>
    <t xml:space="preserve">Tour gastronomico por el mercado de La Merced</t>
  </si>
  <si>
    <t xml:space="preserve">mexicotourcity@gmail.com</t>
  </si>
  <si>
    <t xml:space="preserve">https://www.civitatis.com/es/ciudad-de-mexico/tour-gastronomico-mercado-merced/</t>
  </si>
  <si>
    <t xml:space="preserve">MexicoTourMx</t>
  </si>
  <si>
    <t xml:space="preserve">Iconos del Centro Histórico de la Ciudad de México</t>
  </si>
  <si>
    <t xml:space="preserve">https://mexicotour.mx/</t>
  </si>
  <si>
    <t xml:space="preserve">https://www.viator.com/es-MX/tours/Mexico-City/x/d628-182746P1</t>
  </si>
  <si>
    <t xml:space="preserve">Mexikaan Travel</t>
  </si>
  <si>
    <t xml:space="preserve">Un paseo por el centro de la Ciudad de México</t>
  </si>
  <si>
    <t xml:space="preserve">https://www.viator.com/es-MX/tours/Mexico-City/x/d628-329825P7</t>
  </si>
  <si>
    <t xml:space="preserve">MEXITOURS</t>
  </si>
  <si>
    <t xml:space="preserve">Ciudad de México: tour de la ciudad</t>
  </si>
  <si>
    <t xml:space="preserve">https://mexitours.travel/</t>
  </si>
  <si>
    <t xml:space="preserve">nohemihernandez@mexitours.com.mx</t>
  </si>
  <si>
    <t xml:space="preserve">525542383966</t>
  </si>
  <si>
    <t xml:space="preserve">https://www.getyourguide.com/es-mx/ciudad-de-mexico-l194/-t2859/</t>
  </si>
  <si>
    <t xml:space="preserve">Espectaculo de mariachis en la Plaza Garibaldi</t>
  </si>
  <si>
    <t xml:space="preserve">https://www.civitatis.com/es/ciudad-de-mexico/espectaculo-mariachis-plaza-garibaldi/</t>
  </si>
  <si>
    <t xml:space="preserve">Recorrido nocturno por Garibaldi</t>
  </si>
  <si>
    <t xml:space="preserve">https://www.viator.com/es-MX/tours/Mexico-City/x/d628-5232GARNIG</t>
  </si>
  <si>
    <t xml:space="preserve">Mexploretenochtitlan</t>
  </si>
  <si>
    <t xml:space="preserve">Ciudad de México: murales en el Museo de San Ildefonso</t>
  </si>
  <si>
    <t xml:space="preserve">mexploretenochtitlan@gmail.com</t>
  </si>
  <si>
    <t xml:space="preserve">https://www.getyourguide.com/es-mx/ciudad-de-mexico-l194/-t570032/</t>
  </si>
  <si>
    <t xml:space="preserve">Ciudad de México: tour histórico a pie por Tenochtitlán</t>
  </si>
  <si>
    <t xml:space="preserve">https://www.getyourguide.com/es-mx/ciudad-de-mexico-l194/-t568301/</t>
  </si>
  <si>
    <t xml:space="preserve">https://www.airbnb.com/experiences/6891799</t>
  </si>
  <si>
    <t xml:space="preserve">Miguel — Mexico City Reimagined; A Cultural Walk</t>
  </si>
  <si>
    <t xml:space="preserve">Mexico City Reimagined; A Cultural Walk</t>
  </si>
  <si>
    <t xml:space="preserve">https://www.airbnb.com/experiences/830595</t>
  </si>
  <si>
    <t xml:space="preserve">Moisés — Discover the archaeological heart of Mexico City</t>
  </si>
  <si>
    <t xml:space="preserve">Discover the archaeological heart of Mexico City</t>
  </si>
  <si>
    <t xml:space="preserve">https://www.airbnb.com/experiences/7235396</t>
  </si>
  <si>
    <t xml:space="preserve">Mónica — Discover the Chapultepec Forest</t>
  </si>
  <si>
    <t xml:space="preserve">Discover the Chapultepec Forest</t>
  </si>
  <si>
    <t xml:space="preserve">https://www.airbnb.com/experiences/6665782</t>
  </si>
  <si>
    <t xml:space="preserve">Museos Mexico</t>
  </si>
  <si>
    <t xml:space="preserve">Ciudad de México: tour exclusivo por el Palacio de Bellas Artes</t>
  </si>
  <si>
    <t xml:space="preserve">https://www.getyourguide.com/es-mx/ciudad-de-mexico-l194/-t1000628/</t>
  </si>
  <si>
    <t xml:space="preserve">My Quest Concierge Private Tours</t>
  </si>
  <si>
    <t xml:space="preserve">Recorrido a pie privado por el centro de la Ciudad de México</t>
  </si>
  <si>
    <t xml:space="preserve">https://myquest.travel/</t>
  </si>
  <si>
    <t xml:space="preserve">@myquestconcierge</t>
  </si>
  <si>
    <t xml:space="preserve">https://www.viator.com/es-MX/tours/Mexico-City/x/d628-142800P23</t>
  </si>
  <si>
    <t xml:space="preserve">Tour privado a pie en Templo Mayor y Bellas Artes</t>
  </si>
  <si>
    <t xml:space="preserve">https://www.viator.com/es-MX/tours/Mexico-City/x/d628-142800P29</t>
  </si>
  <si>
    <t xml:space="preserve">MyProGuide Latin America</t>
  </si>
  <si>
    <t xml:space="preserve">Ciudad de México: tour a pie por el centro de la ciudad (CH, JP, ENG o SPA/ESP)</t>
  </si>
  <si>
    <t xml:space="preserve">https://www.myproguide.com/</t>
  </si>
  <si>
    <t xml:space="preserve">https://www.getyourguide.com/es-mx/ciudad-de-mexico-l194/-t962208/</t>
  </si>
  <si>
    <t xml:space="preserve">Nantli Living</t>
  </si>
  <si>
    <t xml:space="preserve">Ciudad de México: Tour Nocturno en Plaza Garibaldi Walking Tour Cultural</t>
  </si>
  <si>
    <t xml:space="preserve">https://www.viator.com/es-MX/tours/Mexico-City/x/d628-482524P38</t>
  </si>
  <si>
    <t xml:space="preserve">https://www.getyourguide.com/es-mx/ciudad-de-mexico-l194/-t1227045/</t>
  </si>
  <si>
    <t xml:space="preserve">Tepito desde dentro: tianguis, comida callejera y vida cotidiana</t>
  </si>
  <si>
    <t xml:space="preserve">https://www.getyourguide.com/es-mx/ciudad-de-mexico-l194/-t1194817/</t>
  </si>
  <si>
    <t xml:space="preserve">Tepito: Tour de tacos, chelas y vida del barrio bravo</t>
  </si>
  <si>
    <t xml:space="preserve">https://www.getyourguide.com/es-mx/ciudad-de-mexico-l194/-t1227053/</t>
  </si>
  <si>
    <t xml:space="preserve">Tour de Arte Urbano en Tepito</t>
  </si>
  <si>
    <t xml:space="preserve">https://www.getyourguide.com/es-mx/ciudad-de-mexico-l194/-t1194758/</t>
  </si>
  <si>
    <t xml:space="preserve">Walking Tour en Tepito: tianguis y boxeo en el Barrio Bravo de la CDMX</t>
  </si>
  <si>
    <t xml:space="preserve">https://www.getyourguide.com/es-mx/ciudad-de-mexico-l194/-t1194733/</t>
  </si>
  <si>
    <t xml:space="preserve">Neene Torres — Murals of Mexico: History, Art, and Revolution</t>
  </si>
  <si>
    <t xml:space="preserve">Murals of Mexico: History, Art, and Revolution</t>
  </si>
  <si>
    <t xml:space="preserve">https://www.airbnb.com/experiences/2543134</t>
  </si>
  <si>
    <t xml:space="preserve">Next Experience</t>
  </si>
  <si>
    <t xml:space="preserve">Ciudad de México: tour a pie por el centro histórico con aguas frescas</t>
  </si>
  <si>
    <t xml:space="preserve">https://www.getyourguide.com/es-mx/ciudad-de-mexico-l194/-t1448337/</t>
  </si>
  <si>
    <t xml:space="preserve">Nomad Mexico E-Bike Tours</t>
  </si>
  <si>
    <t xml:space="preserve">Ride through CDMX highlights on an e-bike</t>
  </si>
  <si>
    <t xml:space="preserve">https://nomadmexico.mx/</t>
  </si>
  <si>
    <t xml:space="preserve">@nomad.mexico</t>
  </si>
  <si>
    <t xml:space="preserve">raul.esses@erusi.com.mx</t>
  </si>
  <si>
    <t xml:space="preserve">https://www.airbnb.com/experiences/613319</t>
  </si>
  <si>
    <t xml:space="preserve">Tour en bicicleta electrica por Ciudad de Mexico</t>
  </si>
  <si>
    <t xml:space="preserve">https://www.civitatis.com/es/ciudad-de-mexico/tour-bicicleta-electrica/</t>
  </si>
  <si>
    <t xml:space="preserve">https://www.viator.com/es-MX/tours/Mexico-City/x/d628-116149P1</t>
  </si>
  <si>
    <t xml:space="preserve">Okulus Experiences</t>
  </si>
  <si>
    <t xml:space="preserve">Gay DayToNite Exploración por el Centro de la Ciudad de México</t>
  </si>
  <si>
    <t xml:space="preserve">https://www.viator.com/es-MX/tours/Mexico-City/x/d628-5667140P1</t>
  </si>
  <si>
    <t xml:space="preserve">Olin &amp; Fernando Gabriel</t>
  </si>
  <si>
    <t xml:space="preserve">El Pub Crawl de la Ciudad de México : Una verdadera noche de chilango</t>
  </si>
  <si>
    <t xml:space="preserve">https://warriorgastrotours.wixsite.com/website</t>
  </si>
  <si>
    <t xml:space="preserve">@warriorscdmx</t>
  </si>
  <si>
    <t xml:space="preserve">warriorgastrotourscdmx@gmail.com</t>
  </si>
  <si>
    <t xml:space="preserve">https://www.airbnb.com/experiences/3843899</t>
  </si>
  <si>
    <t xml:space="preserve">https://www.viator.com/es-MX/tours/Mexico-City/x/d628-314187P2</t>
  </si>
  <si>
    <t xml:space="preserve">Explore Mexico City's evolution like a local</t>
  </si>
  <si>
    <t xml:space="preserve">https://www.airbnb.com/experiences/7276139</t>
  </si>
  <si>
    <t xml:space="preserve">The Mexico City Terraces Crawl &amp; Sunset Views</t>
  </si>
  <si>
    <t xml:space="preserve">https://www.airbnb.com/experiences/6261787</t>
  </si>
  <si>
    <t xml:space="preserve">The Real CDMx: Under the skin of the city</t>
  </si>
  <si>
    <t xml:space="preserve">https://www.airbnb.com/experiences/2722398</t>
  </si>
  <si>
    <t xml:space="preserve">Omar Jesús — Buildings, playing cards, and tacos in downtown</t>
  </si>
  <si>
    <t xml:space="preserve">Buildings, playing cards, and tacos in downtown</t>
  </si>
  <si>
    <t xml:space="preserve">https://www.airbnb.com/experiences/6903362</t>
  </si>
  <si>
    <t xml:space="preserve">Opatrip</t>
  </si>
  <si>
    <t xml:space="preserve">Tour cultural privado a pie para familias por la Ciudad de México histórica</t>
  </si>
  <si>
    <t xml:space="preserve">https://opatrip.com/</t>
  </si>
  <si>
    <t xml:space="preserve">@opatrip.com_tours</t>
  </si>
  <si>
    <t xml:space="preserve">info@opatrip.com</t>
  </si>
  <si>
    <t xml:space="preserve">https://www.viator.com/es-MX/tours/Mexico-City/x/d628-198517P12</t>
  </si>
  <si>
    <t xml:space="preserve">https://www.getyourguide.com/es-mx/ciudad-de-mexico-l194/-t856828/</t>
  </si>
  <si>
    <t xml:space="preserve">Tour histórico privado a pie por el patrimonio de la Ciudad de México</t>
  </si>
  <si>
    <t xml:space="preserve">https://www.viator.com/es-MX/tours/Mexico-City/x/d628-198517P46</t>
  </si>
  <si>
    <t xml:space="preserve">https://www.getyourguide.com/es-mx/ciudad-de-mexico-l194/-t856763/</t>
  </si>
  <si>
    <t xml:space="preserve">Tour privado por el mercado cultural en la Ciudad de México histórica</t>
  </si>
  <si>
    <t xml:space="preserve">https://www.getyourguide.com/es-mx/ciudad-de-mexico-l194/-t1020354/</t>
  </si>
  <si>
    <t xml:space="preserve">Pablo — Mexico's History through Tlatelolco</t>
  </si>
  <si>
    <t xml:space="preserve">Mexico's History through Tlatelolco</t>
  </si>
  <si>
    <t xml:space="preserve">https://www.airbnb.com/experiences/6776305</t>
  </si>
  <si>
    <t xml:space="preserve">Panama San Blas Tours</t>
  </si>
  <si>
    <t xml:space="preserve">Desde la Ciudad de México : Tamales y Mezcal Experiencia en La Juárez</t>
  </si>
  <si>
    <t xml:space="preserve">https://www.viator.com/es-MX/tours/Mexico-City/x/d628-75405P80</t>
  </si>
  <si>
    <t xml:space="preserve">PATA TOURS</t>
  </si>
  <si>
    <t xml:space="preserve">Caminata por el Centro Histórico de la CDMX</t>
  </si>
  <si>
    <t xml:space="preserve">https://www.viator.com/es-MX/tours/Mexico-City/x/d628-388130P3</t>
  </si>
  <si>
    <t xml:space="preserve">Pato Portillo — Independence by descendant of Miguel Hidalgo</t>
  </si>
  <si>
    <t xml:space="preserve">Independence by descendant of Miguel Hidalgo</t>
  </si>
  <si>
    <t xml:space="preserve">https://www.airbnb.com/experiences/6942936</t>
  </si>
  <si>
    <t xml:space="preserve">Pedalea Mexico</t>
  </si>
  <si>
    <t xml:space="preserve">CIUDAD DE MÉXICO FOOD TOUR : sabores sobre dos ruedas</t>
  </si>
  <si>
    <t xml:space="preserve">https://pedaleamexico.com/</t>
  </si>
  <si>
    <t xml:space="preserve">@pedaleamexicobiketours</t>
  </si>
  <si>
    <t xml:space="preserve">biketours@pedaleamexico.com</t>
  </si>
  <si>
    <t xml:space="preserve">525518293466</t>
  </si>
  <si>
    <t xml:space="preserve">https://www.viator.com/es-MX/tours/Mexico-City/x/d628-35437P1</t>
  </si>
  <si>
    <t xml:space="preserve">Graffiti y arte urbano Biketour con parada de tacos</t>
  </si>
  <si>
    <t xml:space="preserve">https://www.viator.com/es-MX/tours/Mexico-City/x/d628-35437P5</t>
  </si>
  <si>
    <t xml:space="preserve">Paseo por el Centro Histórico de la Ciudad de México, destacados con parada de tacos</t>
  </si>
  <si>
    <t xml:space="preserve">https://www.viator.com/es-MX/tours/Mexico-City/x/d628-35437P2</t>
  </si>
  <si>
    <t xml:space="preserve">Pedro Isaac — Mexico Social and Political Walk</t>
  </si>
  <si>
    <t xml:space="preserve">Mexico is spelled with a j: LGBT history of Mexico City</t>
  </si>
  <si>
    <t xml:space="preserve">https://theplanetwonk.com/st_tour/mexico-social-and-political-walk/</t>
  </si>
  <si>
    <t xml:space="preserve">info@theplanetwonk.com</t>
  </si>
  <si>
    <t xml:space="preserve">https://www.airbnb.com/experiences/6579461</t>
  </si>
  <si>
    <t xml:space="preserve">Mexico Social and Political Walk</t>
  </si>
  <si>
    <t xml:space="preserve">https://www.airbnb.com/experiences/5351513</t>
  </si>
  <si>
    <t xml:space="preserve">Pies Descalzos</t>
  </si>
  <si>
    <t xml:space="preserve">Ciudad de México Juárez: tour a pie de arte, diseño y moda local</t>
  </si>
  <si>
    <t xml:space="preserve">https://piesdescalzos.org/</t>
  </si>
  <si>
    <t xml:space="preserve">@piesdescalzostours</t>
  </si>
  <si>
    <t xml:space="preserve">https://www.getyourguide.com/es-mx/ciudad-de-mexico-l194/-t1421467/</t>
  </si>
  <si>
    <t xml:space="preserve">Ciudad de México: tour a pie por el centro histórico y Bellas Artes</t>
  </si>
  <si>
    <t xml:space="preserve">https://www.getyourguide.com/es-mx/ciudad-de-mexico-l194/-t902809/</t>
  </si>
  <si>
    <t xml:space="preserve">Ciudad de México: tour guiado a pie por los murales de Diego Rivera</t>
  </si>
  <si>
    <t xml:space="preserve">https://www.getyourguide.com/es-mx/ciudad-de-mexico-l194/-t1052801/</t>
  </si>
  <si>
    <t xml:space="preserve">Ciudad de México: tour guiado por el Templo Mayor</t>
  </si>
  <si>
    <t xml:space="preserve">https://www.getyourguide.com/es-mx/ciudad-de-mexico-l194/-t1069110/</t>
  </si>
  <si>
    <t xml:space="preserve">Polanco Bike</t>
  </si>
  <si>
    <t xml:space="preserve">Ciudad de México: tour en bicicleta con degustación de tacos en Polanco</t>
  </si>
  <si>
    <t xml:space="preserve">https://polancobike.com/</t>
  </si>
  <si>
    <t xml:space="preserve">@polancobike</t>
  </si>
  <si>
    <t xml:space="preserve">https://www.getyourguide.com/es-mx/ciudad-de-mexico-l194/-t1076616/</t>
  </si>
  <si>
    <t xml:space="preserve">Tour en bicicleta en Ciudad de México</t>
  </si>
  <si>
    <t xml:space="preserve">https://www.viator.com/es-MX/tours/Mexico-City/x/d628-68492P1</t>
  </si>
  <si>
    <t xml:space="preserve">Tour en bicicleta por el Bosque de Chapultepec en la Ciudad de México</t>
  </si>
  <si>
    <t xml:space="preserve">https://www.getyourguide.com/es-mx/ciudad-de-mexico-l194/-t1106880/</t>
  </si>
  <si>
    <t xml:space="preserve">https://www.viator.com/es-MX/tours/Mexico-City/x/d628-68492P3</t>
  </si>
  <si>
    <t xml:space="preserve">Tour por el Parque Chapultepec y Teleférico</t>
  </si>
  <si>
    <t xml:space="preserve">https://www.viator.com/es-MX/tours/Mexico-City/x/d628-68492P4</t>
  </si>
  <si>
    <t xml:space="preserve">Tour privado en bicicleta de tacos por Polanco</t>
  </si>
  <si>
    <t xml:space="preserve">https://www.viator.com/es-MX/tours/Mexico-City/x/d628-68492P2</t>
  </si>
  <si>
    <t xml:space="preserve">Poráy Bike Tours</t>
  </si>
  <si>
    <t xml:space="preserve">Ciudad de México: tour en bicicleta Art Nacó, murales y arte urbano</t>
  </si>
  <si>
    <t xml:space="preserve">https://www.poray.bike/</t>
  </si>
  <si>
    <t xml:space="preserve">@poraybike</t>
  </si>
  <si>
    <t xml:space="preserve">gabyhdz@poray.bike</t>
  </si>
  <si>
    <t xml:space="preserve">https://www.airbnb.com/experiences/91809</t>
  </si>
  <si>
    <t xml:space="preserve">https://www.viator.com/es-MX/tours/Mexico-City/x/d628-38551P4</t>
  </si>
  <si>
    <t xml:space="preserve">https://www.getyourguide.com/es-mx/ciudad-de-mexico-l194/-t178185/</t>
  </si>
  <si>
    <t xml:space="preserve">Ciudad de México: tour en bicicleta con bocadillos y cata de cerveza</t>
  </si>
  <si>
    <t xml:space="preserve">https://www.getyourguide.com/es-mx/ciudad-de-mexico-l194/-t1281227/</t>
  </si>
  <si>
    <t xml:space="preserve">https://www.viator.com/es-MX/tours/Mexico-City/x/d628-38551P9</t>
  </si>
  <si>
    <t xml:space="preserve">Experiencia histórica en bicicleta por Chapultepec y Reforma en la Ciudad de México</t>
  </si>
  <si>
    <t xml:space="preserve">https://www.getyourguide.com/es-mx/ciudad-de-mexico-l194/-t202252/</t>
  </si>
  <si>
    <t xml:space="preserve">Explora Chapultepec y Ciudad de México en bicicleta</t>
  </si>
  <si>
    <t xml:space="preserve">https://www.viator.com/es-MX/tours/Mexico-City/x/d628-38551P1</t>
  </si>
  <si>
    <t xml:space="preserve">Fiesta de bicicleta de neón</t>
  </si>
  <si>
    <t xml:space="preserve">https://www.viator.com/es-MX/tours/Mexico-City/x/d628-38551P3</t>
  </si>
  <si>
    <t xml:space="preserve">Pequeños exploradores en Bici por Chapultepec</t>
  </si>
  <si>
    <t xml:space="preserve">https://www.viator.com/es-MX/tours/Mexico-City/x/d628-38551P13</t>
  </si>
  <si>
    <t xml:space="preserve">Tour en bicicleta por Ciudad de Mexico</t>
  </si>
  <si>
    <t xml:space="preserve">https://www.viator.com/es-MX/tours/Mexico-City/x/d628-38551P2</t>
  </si>
  <si>
    <t xml:space="preserve">https://www.civitatis.com/es/ciudad-de-mexico/tour-bicicleta-ciudad-mexico/</t>
  </si>
  <si>
    <t xml:space="preserve">Queer Walks MX</t>
  </si>
  <si>
    <t xml:space="preserve">Explore el vecindario de Juárez caminando con degustación de mezcal</t>
  </si>
  <si>
    <t xml:space="preserve">https://www.viator.com/es-MX/tours/Mexico-City/x/d628-5665887P1</t>
  </si>
  <si>
    <t xml:space="preserve">Raíces Bravas Tepito</t>
  </si>
  <si>
    <t xml:space="preserve">CDMX: Tepito a pie con guía nativo, box y comida local</t>
  </si>
  <si>
    <t xml:space="preserve">@raicesbravastepito</t>
  </si>
  <si>
    <t xml:space="preserve">https://www.getyourguide.com/es-mx/ciudad-de-mexico-l194/-t1407386/</t>
  </si>
  <si>
    <t xml:space="preserve">Tepito: Tour guiado a pie, prueba comida local, escucha leyendas del barrio</t>
  </si>
  <si>
    <t xml:space="preserve">https://www.getyourguide.com/es-mx/ciudad-de-mexico-l194/-t1454525/</t>
  </si>
  <si>
    <t xml:space="preserve">Raquel — Explore historic CDMX markets with a food writer</t>
  </si>
  <si>
    <t xml:space="preserve">Explore historic CDMX markets with a food writer</t>
  </si>
  <si>
    <t xml:space="preserve">https://www.airbnb.com/experiences/7037205</t>
  </si>
  <si>
    <t xml:space="preserve">Raquel Urroz Kanan</t>
  </si>
  <si>
    <t xml:space="preserve">Ciudad de México: tour histórico a pie con un guía experto (doctorado)</t>
  </si>
  <si>
    <t xml:space="preserve">https://www.getyourguide.com/es-mx/ciudad-de-mexico-l194/-t1150035/</t>
  </si>
  <si>
    <t xml:space="preserve">Regenera Tours</t>
  </si>
  <si>
    <t xml:space="preserve">Lagunilla: Chelita, Garnacha Grapes, and Party</t>
  </si>
  <si>
    <t xml:space="preserve">@regenera_tours</t>
  </si>
  <si>
    <t xml:space="preserve">https://www.airbnb.com/experiences/6887642</t>
  </si>
  <si>
    <t xml:space="preserve">Sacred and Hidden Secrets: CDMX Mercado Sonora</t>
  </si>
  <si>
    <t xml:space="preserve">https://www.airbnb.com/experiences/6582748</t>
  </si>
  <si>
    <t xml:space="preserve">Tour cultural inmersivo de Tlatelolco</t>
  </si>
  <si>
    <t xml:space="preserve">https://www.viator.com/es-MX/tours/Mexico-City/x/d628-5603474P1</t>
  </si>
  <si>
    <t xml:space="preserve">Remix &amp; Tosco (street art)</t>
  </si>
  <si>
    <t xml:space="preserve">Paint a mural with a street artist</t>
  </si>
  <si>
    <t xml:space="preserve">https://remixuno.com/</t>
  </si>
  <si>
    <t xml:space="preserve">@remixuno</t>
  </si>
  <si>
    <t xml:space="preserve">https://www.airbnb.com/experiences/99356</t>
  </si>
  <si>
    <t xml:space="preserve">Ricardo (Cantinas y azoteas)</t>
  </si>
  <si>
    <t xml:space="preserve">Cantina Tour in the Historic Center</t>
  </si>
  <si>
    <t xml:space="preserve">@acodado_en_la_barra</t>
  </si>
  <si>
    <t xml:space="preserve">https://www.airbnb.com/experiences/655781</t>
  </si>
  <si>
    <t xml:space="preserve">CDMX Photo Workshop: Street &amp; Architecture</t>
  </si>
  <si>
    <t xml:space="preserve">https://www.airbnb.com/experiences/7162552</t>
  </si>
  <si>
    <t xml:space="preserve">Recorrido a pie por el Centro Histórico de la Ciudad de México : joyas ocultas y azoteas</t>
  </si>
  <si>
    <t xml:space="preserve">https://www.viator.com/es-MX/tours/Mexico-City/x/d628-5527304P1</t>
  </si>
  <si>
    <t xml:space="preserve">RIDE MY BIKE CDMX</t>
  </si>
  <si>
    <t xml:space="preserve">Ride My Bike: tour en bicicleta eléctrica por la Ciudad de México</t>
  </si>
  <si>
    <t xml:space="preserve">@ridemybike.mx</t>
  </si>
  <si>
    <t xml:space="preserve">https://www.getyourguide.com/es-mx/ciudad-de-mexico-l194/-t1341987/</t>
  </si>
  <si>
    <t xml:space="preserve">Rosotravel</t>
  </si>
  <si>
    <t xml:space="preserve">Ciudad de México: tour a pie guiado privado sobre la historia judía</t>
  </si>
  <si>
    <t xml:space="preserve">https://www.getyourguide.com/es-mx/ciudad-de-mexico-l194/-t900597/</t>
  </si>
  <si>
    <t xml:space="preserve">Recorrido guiado privado por el Estanquillo y el Museo Nacional de Arte</t>
  </si>
  <si>
    <t xml:space="preserve">https://www.getyourguide.com/es-mx/ciudad-de-mexico-l194/-t1445077/</t>
  </si>
  <si>
    <t xml:space="preserve">Recorrido por el Templo Mayor y el Museo Nacional de las Culturas del Mundo</t>
  </si>
  <si>
    <t xml:space="preserve">https://www.getyourguide.com/es-mx/ciudad-de-mexico-l194/-t1445864/</t>
  </si>
  <si>
    <t xml:space="preserve">Tour a pie privado por las iglesias del centro histórico de la Ciudad de México</t>
  </si>
  <si>
    <t xml:space="preserve">https://www.getyourguide.com/es-mx/ciudad-de-mexico-l194/-t1453520/</t>
  </si>
  <si>
    <t xml:space="preserve">Tour privado a la Catedral Metropolitana y al Museo del Templo Mayor</t>
  </si>
  <si>
    <t xml:space="preserve">https://www.getyourguide.com/es-mx/ciudad-de-mexico-l194/-t1447727/</t>
  </si>
  <si>
    <t xml:space="preserve">Tour privado a pie por los puntos destacados del centro de la Ciudad de México</t>
  </si>
  <si>
    <t xml:space="preserve">https://www.getyourguide.com/es-mx/ciudad-de-mexico-l194/-t900587/</t>
  </si>
  <si>
    <t xml:space="preserve">Tour privado a pie por los puntos destacados del Centro Histórico de la Ciudad de México</t>
  </si>
  <si>
    <t xml:space="preserve">https://www.getyourguide.com/es-mx/ciudad-de-mexico-l194/-t1453524/</t>
  </si>
  <si>
    <t xml:space="preserve">Visita guiada privada al Templo Mayor y al Museo Nacional de Arte</t>
  </si>
  <si>
    <t xml:space="preserve">https://www.getyourguide.com/es-mx/ciudad-de-mexico-l194/-t1448994/</t>
  </si>
  <si>
    <t xml:space="preserve">Rut Vélez Ortega</t>
  </si>
  <si>
    <t xml:space="preserve">Ciudad de México: Tour a pie en el centro, una vista del pasado al presente</t>
  </si>
  <si>
    <t xml:space="preserve">https://www.getyourguide.com/es-mx/ciudad-de-mexico-l194/-t1045774/</t>
  </si>
  <si>
    <t xml:space="preserve">Saboreando México</t>
  </si>
  <si>
    <t xml:space="preserve">Saboreando el Centro Histórico de la CDMX</t>
  </si>
  <si>
    <t xml:space="preserve">https://www.getyourguide.com/es-mx/ciudad-de-mexico-l194/-t949018/</t>
  </si>
  <si>
    <t xml:space="preserve">Sabores México Food Tours</t>
  </si>
  <si>
    <t xml:space="preserve">Ciudad de México: auténtico tour gastronómico por el centro de la ciudad</t>
  </si>
  <si>
    <t xml:space="preserve">https://saboresmexicofoodtours.com/</t>
  </si>
  <si>
    <t xml:space="preserve">@saboresmexicoft</t>
  </si>
  <si>
    <t xml:space="preserve">525541704137</t>
  </si>
  <si>
    <t xml:space="preserve">https://www.getyourguide.com/es-mx/ciudad-de-mexico-l194/-t44866/</t>
  </si>
  <si>
    <t xml:space="preserve">https://www.viator.com/es-MX/tours/Mexico-City/x/d628-7119P1</t>
  </si>
  <si>
    <t xml:space="preserve">Una noche de tacos y mezcal en Ciudad de México</t>
  </si>
  <si>
    <t xml:space="preserve">https://www.viator.com/es-MX/tours/Mexico-City/x/d628-7119P4</t>
  </si>
  <si>
    <t xml:space="preserve">Samuel Arturo — Historic Center: Between History, Mysteries and </t>
  </si>
  <si>
    <t xml:space="preserve">Historic Center: Between History, Mysteries and Art</t>
  </si>
  <si>
    <t xml:space="preserve">https://www.airbnb.com/experiences/6891156</t>
  </si>
  <si>
    <t xml:space="preserve">Sat Mexico Tours</t>
  </si>
  <si>
    <t xml:space="preserve">Tour nocturno de tacos y mezcales en la Ciudad de México</t>
  </si>
  <si>
    <t xml:space="preserve">https://www.viator.com/es-MX/tours/Mexico-City/x/d628-110186P64</t>
  </si>
  <si>
    <t xml:space="preserve">Secret Food Tours</t>
  </si>
  <si>
    <t xml:space="preserve">Mexico City Street Eats &amp; Hidden Gems with a Local</t>
  </si>
  <si>
    <t xml:space="preserve">https://www.secretfoodtours.com/mexico-city/</t>
  </si>
  <si>
    <t xml:space="preserve">@secretfoodtours</t>
  </si>
  <si>
    <t xml:space="preserve">13322304892</t>
  </si>
  <si>
    <t xml:space="preserve">https://www.airbnb.com/experiences/6639792</t>
  </si>
  <si>
    <t xml:space="preserve">Tour gastronómico por el Centro Histórico de la Ciudad de México con 7 degustaciones y bebidas</t>
  </si>
  <si>
    <t xml:space="preserve">https://www.viator.com/es-MX/tours/Mexico-City/x/d628-7812P83</t>
  </si>
  <si>
    <t xml:space="preserve">Tour gastronómico privado por el centro histórico de la Ciudad de México con más de 7 degustaciones</t>
  </si>
  <si>
    <t xml:space="preserve">https://www.viator.com/es-MX/tours/Mexico-City/x/d628-7812P159</t>
  </si>
  <si>
    <t xml:space="preserve">Sergio — Savor Local Icons with a Restaurateur</t>
  </si>
  <si>
    <t xml:space="preserve">Savor Local Icons with a Restaurateur</t>
  </si>
  <si>
    <t xml:space="preserve">https://www.airbnb.com/experiences/7098475</t>
  </si>
  <si>
    <t xml:space="preserve">Shikys Ride</t>
  </si>
  <si>
    <t xml:space="preserve">Mexico City Bike Tour Plus Authentic Mexican Food</t>
  </si>
  <si>
    <t xml:space="preserve">https://www.airbnb.com/experiences/6974747</t>
  </si>
  <si>
    <t xml:space="preserve">Sofía &amp; Javier (Sonora y Merced)</t>
  </si>
  <si>
    <t xml:space="preserve">Discover Sonora and Merced Markets Like a Local</t>
  </si>
  <si>
    <t xml:space="preserve">https://www.airbnb.com/experiences/7188035</t>
  </si>
  <si>
    <t xml:space="preserve">SOVTRAVEL</t>
  </si>
  <si>
    <t xml:space="preserve">Tour de la ciudad en la Ciudad de México</t>
  </si>
  <si>
    <t xml:space="preserve">https://www.getyourguide.com/es-mx/ciudad-de-mexico-l194/-t662954/</t>
  </si>
  <si>
    <t xml:space="preserve">Taco Hopping Experience</t>
  </si>
  <si>
    <t xml:space="preserve">Deep mexico city tour: Merced market</t>
  </si>
  <si>
    <t xml:space="preserve">https://www.viator.com/es-MX/tours/Mexico-City/x/d628-455358P2</t>
  </si>
  <si>
    <t xml:space="preserve">Taco Mensch</t>
  </si>
  <si>
    <t xml:space="preserve">Tacos y mezcal después del anochecer con Taco Mensch</t>
  </si>
  <si>
    <t xml:space="preserve">https://www.tacomensch.com/</t>
  </si>
  <si>
    <t xml:space="preserve">@tacomensch</t>
  </si>
  <si>
    <t xml:space="preserve">https://www.viator.com/es-MX/tours/Mexico-City/x/d628-125355P4</t>
  </si>
  <si>
    <t xml:space="preserve">Tour al Centro Histórico de la Ciudad de México con Taco Mensch</t>
  </si>
  <si>
    <t xml:space="preserve">https://www.viator.com/es-MX/tours/Mexico-City/x/d628-125355P3</t>
  </si>
  <si>
    <t xml:space="preserve">Taste &amp; Time Traveler</t>
  </si>
  <si>
    <t xml:space="preserve">Ciudad de México: tour nocturno privado con guía y transporte</t>
  </si>
  <si>
    <t xml:space="preserve">https://tasteandtimetraveler.com/</t>
  </si>
  <si>
    <t xml:space="preserve">judith.cortes.desarrollo@gmail.com</t>
  </si>
  <si>
    <t xml:space="preserve">https://www.getyourguide.com/es-mx/ciudad-de-mexico-l194/-t1445585/</t>
  </si>
  <si>
    <t xml:space="preserve">The Real Tepito - Experiencia segura con un guía local</t>
  </si>
  <si>
    <t xml:space="preserve">https://www.viator.com/es-MX/tours/Mexico-City/x/d628-439506P7</t>
  </si>
  <si>
    <t xml:space="preserve">Tour a pie por lo esencial de la Ciudad de México</t>
  </si>
  <si>
    <t xml:space="preserve">https://www.getyourguide.com/es-mx/ciudad-de-mexico-l194/-t601379/</t>
  </si>
  <si>
    <t xml:space="preserve">Tour a pie por Tlatelolco y el mercado de La Lagunilla en la Ciudad de México</t>
  </si>
  <si>
    <t xml:space="preserve">https://www.getyourguide.com/es-mx/ciudad-de-mexico-l194/-t602856/</t>
  </si>
  <si>
    <t xml:space="preserve">Tour de la Revolucion mexicana  por Ciudad de Mexico</t>
  </si>
  <si>
    <t xml:space="preserve">https://www.civitatis.com/es/ciudad-de-mexico/visita-guiada-monumento-revolucion/</t>
  </si>
  <si>
    <t xml:space="preserve">Visita guiada por Santa Maria la Ribera  Kiosco Morisco</t>
  </si>
  <si>
    <t xml:space="preserve">https://www.civitatis.com/es/ciudad-de-mexico/tour-santa-maria-ribera-tianguis-chopo/</t>
  </si>
  <si>
    <t xml:space="preserve">TECNO SPACE DE OCCIDENTE</t>
  </si>
  <si>
    <t xml:space="preserve">Ciudad de México: Bellas Artes, Alameda, Tour: Museo Túnel de la Ciencia.</t>
  </si>
  <si>
    <t xml:space="preserve">https://www.getyourguide.com/es-mx/ciudad-de-mexico-l194/-t1191785/</t>
  </si>
  <si>
    <t xml:space="preserve">Tepito Chido Tour</t>
  </si>
  <si>
    <t xml:space="preserve">https://tepitochido.com/</t>
  </si>
  <si>
    <t xml:space="preserve">526643697500</t>
  </si>
  <si>
    <t xml:space="preserve">https://www.viator.com/es-MX/tours/Mexico-City/x/d628-5580193P4</t>
  </si>
  <si>
    <t xml:space="preserve">The Chef Tours</t>
  </si>
  <si>
    <t xml:space="preserve">Tour gastronómico confidencial por la Ciudad de México</t>
  </si>
  <si>
    <t xml:space="preserve">https://thecheftours.com/mexico-city/</t>
  </si>
  <si>
    <t xml:space="preserve">@chefpjfoodtour</t>
  </si>
  <si>
    <t xml:space="preserve">operations@thecheftours.com</t>
  </si>
  <si>
    <t xml:space="preserve">33753865295</t>
  </si>
  <si>
    <t xml:space="preserve">https://www.viator.com/es-MX/tours/Mexico-City/x/d628-475435P10</t>
  </si>
  <si>
    <t xml:space="preserve">The Film Tours México</t>
  </si>
  <si>
    <t xml:space="preserve">Tour a Pie de Cine y Series por el Centro Histórico de CDMX</t>
  </si>
  <si>
    <t xml:space="preserve">https://www.thefilmtours.com/</t>
  </si>
  <si>
    <t xml:space="preserve">@thefilmtoursmx</t>
  </si>
  <si>
    <t xml:space="preserve">hola@thefilmtours.com</t>
  </si>
  <si>
    <t xml:space="preserve">525540837347</t>
  </si>
  <si>
    <t xml:space="preserve">https://www.viator.com/es-MX/tours/Mexico-City/x/d628-380136P1</t>
  </si>
  <si>
    <t xml:space="preserve">The Walking Thinker</t>
  </si>
  <si>
    <t xml:space="preserve">Ciudad de México: Paseo por el centro histórico con un actor antropólogo</t>
  </si>
  <si>
    <t xml:space="preserve">https://www.getyourguide.com/es-mx/ciudad-de-mexico-l194/-t1068018/</t>
  </si>
  <si>
    <t xml:space="preserve">TiAPANi</t>
  </si>
  <si>
    <t xml:space="preserve">Centro Histórico Express lo imperdible en dos horas</t>
  </si>
  <si>
    <t xml:space="preserve">https://www.viator.com/es-MX/tours/Mexico-City/x/d628-5586947P1</t>
  </si>
  <si>
    <t xml:space="preserve">Tonatiours</t>
  </si>
  <si>
    <t xml:space="preserve">Centro Histórico de Ciudad de México Historia, diversión y más...</t>
  </si>
  <si>
    <t xml:space="preserve">https://www.viator.com/es-MX/tours/Mexico-City/x/d628-5633874P2</t>
  </si>
  <si>
    <t xml:space="preserve">Tour Travel &amp; More</t>
  </si>
  <si>
    <t xml:space="preserve">Recorrido a pie privado de medio día por el centro histórico de la Ciudad de México</t>
  </si>
  <si>
    <t xml:space="preserve">https://www.viator.com/es-MX/tours/Mexico-City/x/d628-8647P859</t>
  </si>
  <si>
    <t xml:space="preserve">Tour With Indra</t>
  </si>
  <si>
    <t xml:space="preserve">Ciudad de México: tour arquitectónico por el centro histórico</t>
  </si>
  <si>
    <t xml:space="preserve">https://www.getyourguide.com/es-mx/ciudad-de-mexico-l194/-t590534/</t>
  </si>
  <si>
    <t xml:space="preserve">TourbikeandfoodCDMX</t>
  </si>
  <si>
    <t xml:space="preserve">Ciudad de México: tour en bicicleta por 19 puntos destacados de la ciudad</t>
  </si>
  <si>
    <t xml:space="preserve">@tourbikeandfoodcdmx</t>
  </si>
  <si>
    <t xml:space="preserve">https://www.viator.com/es-MX/tours/Mexico-City/x/d628-432161P1</t>
  </si>
  <si>
    <t xml:space="preserve">https://www.getyourguide.com/es-mx/ciudad-de-mexico-l194/-t524001/</t>
  </si>
  <si>
    <t xml:space="preserve">https://www.airbnb.com/experiences/158113</t>
  </si>
  <si>
    <t xml:space="preserve">Touring Mexico City</t>
  </si>
  <si>
    <t xml:space="preserve">Descubre la Ciudad de México en Bicicleta: Tour de Chapultepec al Centro</t>
  </si>
  <si>
    <t xml:space="preserve">https://www.viator.com/es-MX/tours/Mexico-City/x/d628-229724P4</t>
  </si>
  <si>
    <t xml:space="preserve">Tours by Hilary</t>
  </si>
  <si>
    <t xml:space="preserve">Tour Privado en Centro Historico de la CDMX con Guia Local</t>
  </si>
  <si>
    <t xml:space="preserve">https://www.viator.com/es-MX/tours/Mexico-City/x/d628-362694P2</t>
  </si>
  <si>
    <t xml:space="preserve">Tours en Bici - Bike Tours Mexico City</t>
  </si>
  <si>
    <t xml:space="preserve">Ciudad de México: Tour de tacos de la Guía Michelin en bici eléctrica</t>
  </si>
  <si>
    <t xml:space="preserve">https://www.getyourguide.com/es-mx/ciudad-de-mexico-l194/-t1454546/</t>
  </si>
  <si>
    <t xml:space="preserve">Recorrido en bici eléctrica por los puntos destacados de la arquitectura: Ciudad de México</t>
  </si>
  <si>
    <t xml:space="preserve">https://www.getyourguide.com/es-mx/ciudad-de-mexico-l194/-t1454556/</t>
  </si>
  <si>
    <t xml:space="preserve">Travel Eats CDMXs</t>
  </si>
  <si>
    <t xml:space="preserve">Ciudad de México: centro histórico, historia sin aburrimiento y tour gastronómico</t>
  </si>
  <si>
    <t xml:space="preserve">https://www.getyourguide.com/es-mx/ciudad-de-mexico-l194/-t1216760/</t>
  </si>
  <si>
    <t xml:space="preserve">Travelezza</t>
  </si>
  <si>
    <t xml:space="preserve">Ciudad de México: tour a pie por el centro histórico</t>
  </si>
  <si>
    <t xml:space="preserve">https://www.travelezza.com/</t>
  </si>
  <si>
    <t xml:space="preserve">@travelezzatours</t>
  </si>
  <si>
    <t xml:space="preserve">info@travelezza.com</t>
  </si>
  <si>
    <t xml:space="preserve">https://www.getyourguide.com/es-mx/ciudad-de-mexico-l194/-t683247/</t>
  </si>
  <si>
    <t xml:space="preserve">Tour Privado a pie Gemas del Centro Histórico de la Ciudad de México</t>
  </si>
  <si>
    <t xml:space="preserve">https://www.viator.com/es-MX/tours/Mexico-City/x/d628-140382P2</t>
  </si>
  <si>
    <t xml:space="preserve">Travelling Herbivore</t>
  </si>
  <si>
    <t xml:space="preserve">Aventura de comida callejera vegana y vegetariana en la Ciudad de México</t>
  </si>
  <si>
    <t xml:space="preserve">https://www.travellingherbivore.com/</t>
  </si>
  <si>
    <t xml:space="preserve">@travellingherbivore</t>
  </si>
  <si>
    <t xml:space="preserve">hola@travellingherbivore.com</t>
  </si>
  <si>
    <t xml:space="preserve">525565558054</t>
  </si>
  <si>
    <t xml:space="preserve">https://www.viator.com/es-MX/tours/Mexico-City/x/d628-102625P2</t>
  </si>
  <si>
    <t xml:space="preserve">https://www.airbnb.com/experiences/137995</t>
  </si>
  <si>
    <t xml:space="preserve">Treep Tours</t>
  </si>
  <si>
    <t xml:space="preserve">Recorrido a pie por la comida callejera de El Centro</t>
  </si>
  <si>
    <t xml:space="preserve">https://www.treeptours.com/</t>
  </si>
  <si>
    <t xml:space="preserve">@treeptours</t>
  </si>
  <si>
    <t xml:space="preserve">hola@treeptours.com</t>
  </si>
  <si>
    <t xml:space="preserve">525555182103</t>
  </si>
  <si>
    <t xml:space="preserve">https://www.viator.com/es-MX/tours/Mexico-City/x/d628-460429P1</t>
  </si>
  <si>
    <t xml:space="preserve">Trekzy</t>
  </si>
  <si>
    <t xml:space="preserve">CDMX: Recorrido por Palacios y Museos</t>
  </si>
  <si>
    <t xml:space="preserve">https://trekzy.com/</t>
  </si>
  <si>
    <t xml:space="preserve">https://www.getyourguide.com/es-mx/ciudad-de-mexico-l194/-t932635/</t>
  </si>
  <si>
    <t xml:space="preserve">TrippersMx</t>
  </si>
  <si>
    <t xml:space="preserve">Coma y explore los mercados locales en la Ciudad de México</t>
  </si>
  <si>
    <t xml:space="preserve">https://www.trippersmx.com/</t>
  </si>
  <si>
    <t xml:space="preserve">@trippersmx</t>
  </si>
  <si>
    <t xml:space="preserve">https://www.viator.com/es-MX/tours/Mexico-City/x/d628-324890P1</t>
  </si>
  <si>
    <t xml:space="preserve">https://www.airbnb.com/experiences/175665</t>
  </si>
  <si>
    <t xml:space="preserve">Off-the-Grid Eats:CDMX’s Wildest Street Food Crawl</t>
  </si>
  <si>
    <t xml:space="preserve">https://www.airbnb.com/experiences/676360</t>
  </si>
  <si>
    <t xml:space="preserve">Triptlán</t>
  </si>
  <si>
    <t xml:space="preserve">Bellas Artes &amp; Latin American Tower: Views, History and Drinks</t>
  </si>
  <si>
    <t xml:space="preserve">https://www.viator.com/es-MX/tours/Mexico-City/x/d628-421833P26</t>
  </si>
  <si>
    <t xml:space="preserve">De los mercados aztecas al tianguis de antigüedades de Lagunilla y las micheladas.</t>
  </si>
  <si>
    <t xml:space="preserve">https://www.viator.com/es-MX/tours/Mexico-City/x/d628-421833P21</t>
  </si>
  <si>
    <t xml:space="preserve">Turicard Tours</t>
  </si>
  <si>
    <t xml:space="preserve">Descubre los impresionantes palacios y museos de la CDMX</t>
  </si>
  <si>
    <t xml:space="preserve">https://www.getyourguide.com/es-mx/ciudad-de-mexico-l194/-t1034808/</t>
  </si>
  <si>
    <t xml:space="preserve">Tyler — Centro Histórico Taco Tour with a Local Guide</t>
  </si>
  <si>
    <t xml:space="preserve">Centro Histórico Taco Tour with a Local Guide</t>
  </si>
  <si>
    <t xml:space="preserve">@tylers.taco.tours</t>
  </si>
  <si>
    <t xml:space="preserve">https://www.airbnb.com/experiences/53644</t>
  </si>
  <si>
    <t xml:space="preserve">Unlimited Experiences</t>
  </si>
  <si>
    <t xml:space="preserve">Desde cdmx: Citywalking tour privado en cdmx + templo mayor</t>
  </si>
  <si>
    <t xml:space="preserve">https://unlimitedpuebla.com/</t>
  </si>
  <si>
    <t xml:space="preserve">@unlimited.experiences</t>
  </si>
  <si>
    <t xml:space="preserve">info@unlimitedpuebla.com</t>
  </si>
  <si>
    <t xml:space="preserve">522224523738</t>
  </si>
  <si>
    <t xml:space="preserve">https://www.viator.com/es-MX/tours/Mexico-City/x/d628-5510734P1</t>
  </si>
  <si>
    <t xml:space="preserve">Desde la Ciudad de México: tour a pie privado por el centro histórico</t>
  </si>
  <si>
    <t xml:space="preserve">https://www.getyourguide.com/es-mx/ciudad-de-mexico-l194/-t720997/</t>
  </si>
  <si>
    <t xml:space="preserve">Verbomotor</t>
  </si>
  <si>
    <t xml:space="preserve">Arquitectura e Historia de la Ciudad de México - Grupos Pequeños</t>
  </si>
  <si>
    <t xml:space="preserve">https://www.airbnb.com/experiences/322650</t>
  </si>
  <si>
    <t xml:space="preserve">https://www.viator.com/es-MX/tours/Mexico-City/x/d628-398797P1</t>
  </si>
  <si>
    <t xml:space="preserve">Museo del Templo Mayor / Arqueología Urbana - Grupos Reducidos</t>
  </si>
  <si>
    <t xml:space="preserve">https://www.viator.com/es-MX/tours/Mexico-City/x/d628-398797P5</t>
  </si>
  <si>
    <t xml:space="preserve">https://www.airbnb.com/experiences/6429561</t>
  </si>
  <si>
    <t xml:space="preserve">Viacalli</t>
  </si>
  <si>
    <t xml:space="preserve">Visita guiada a Palacio de Bellas Artes y Palacio Postal de la Ciudad de México</t>
  </si>
  <si>
    <t xml:space="preserve">https://www.viator.com/es-MX/tours/Mexico-City/x/d628-5658486P1</t>
  </si>
  <si>
    <t xml:space="preserve">Vibe Adventures</t>
  </si>
  <si>
    <t xml:space="preserve">Descubra la Torre Latinoamericana y el Centro Histórico Tour</t>
  </si>
  <si>
    <t xml:space="preserve">https://vibeadventures.com/</t>
  </si>
  <si>
    <t xml:space="preserve">@vibe.adventures</t>
  </si>
  <si>
    <t xml:space="preserve">525531086693</t>
  </si>
  <si>
    <t xml:space="preserve">https://www.viator.com/es-MX/tours/Mexico-City/x/d628-343024P84</t>
  </si>
  <si>
    <t xml:space="preserve">Explora Arte Moderno y Murales en los Mejores Museos de la Ciudad de México</t>
  </si>
  <si>
    <t xml:space="preserve">https://www.viator.com/es-MX/tours/Mexico-City/x/d628-343024P83</t>
  </si>
  <si>
    <t xml:space="preserve">https://www.airbnb.com/experiences/7256616</t>
  </si>
  <si>
    <t xml:space="preserve">Explore Evening Street Food in Mexico City</t>
  </si>
  <si>
    <t xml:space="preserve">https://www.airbnb.com/experiences/3543678</t>
  </si>
  <si>
    <t xml:space="preserve">Mexico City Market Tour: Flavor &amp; Colorful Murals</t>
  </si>
  <si>
    <t xml:space="preserve">https://www.airbnb.com/experiences/7208074</t>
  </si>
  <si>
    <t xml:space="preserve">Muralismo en la Ciudad de México: Recorrido de arte e historia</t>
  </si>
  <si>
    <t xml:space="preserve">https://www.viator.com/es-MX/tours/Mexico-City/x/d628-343024P23</t>
  </si>
  <si>
    <t xml:space="preserve">Pulque Bar Mexico City: Local Drink and Tacos</t>
  </si>
  <si>
    <t xml:space="preserve">https://www.airbnb.com/experiences/7275463</t>
  </si>
  <si>
    <t xml:space="preserve">Recorrido a pie por el Centro Histórico de la Ciudad de México</t>
  </si>
  <si>
    <t xml:space="preserve">https://www.airbnb.com/experiences/7203076</t>
  </si>
  <si>
    <t xml:space="preserve">https://www.viator.com/es-MX/tours/Mexico-City/x/d628-343024P17</t>
  </si>
  <si>
    <t xml:space="preserve">Recorrido en bicicleta por la Ciudad de México: Pedalea por monumentos históricos</t>
  </si>
  <si>
    <t xml:space="preserve">https://www.viator.com/es-MX/tours/Mexico-City/x/d628-343024P52</t>
  </si>
  <si>
    <t xml:space="preserve">Recorrido gastronómico por las calles de la Ciudad de México: velada en el centro histórico</t>
  </si>
  <si>
    <t xml:space="preserve">https://www.viator.com/es-MX/tours/Mexico-City/x/d628-343024P13</t>
  </si>
  <si>
    <t xml:space="preserve">Recorrido por el mercado de la Ciudad de México: Una aventura culinaria sensorial</t>
  </si>
  <si>
    <t xml:space="preserve">https://www.viator.com/es-MX/tours/Mexico-City/x/d628-343024P30</t>
  </si>
  <si>
    <t xml:space="preserve">Taco Tour México : Centro Histórico y Taquerías con Lista Michelin</t>
  </si>
  <si>
    <t xml:space="preserve">https://www.viator.com/es-MX/tours/Mexico-City/x/d628-343024P49</t>
  </si>
  <si>
    <t xml:space="preserve">Tour de arquitectura de la Ciudad de México: admira las maravillas históricas y modernas</t>
  </si>
  <si>
    <t xml:space="preserve">https://www.viator.com/es-MX/tours/Mexico-City/x/d628-343024P66</t>
  </si>
  <si>
    <t xml:space="preserve">Tour gastronómico vegano en la Ciudad de México: Una aventura culinaria</t>
  </si>
  <si>
    <t xml:space="preserve">https://www.viator.com/es-MX/tours/Mexico-City/x/d628-343024P20</t>
  </si>
  <si>
    <t xml:space="preserve">Zona Rosa Ciudad de México Vida Nocturna Mágica LGBT+ y Tour de Bares</t>
  </si>
  <si>
    <t xml:space="preserve">https://www.viator.com/es-MX/tours/Mexico-City/x/d628-343024P31</t>
  </si>
  <si>
    <t xml:space="preserve">Zona Rosa in Mexico City: Cocktail LGBT Bar</t>
  </si>
  <si>
    <t xml:space="preserve">https://www.airbnb.com/experiences/7216680</t>
  </si>
  <si>
    <t xml:space="preserve">Victor — Eating as a local CDMX Food experiencie</t>
  </si>
  <si>
    <t xml:space="preserve">Eating as a local CDMX Food experiencie</t>
  </si>
  <si>
    <t xml:space="preserve">https://www.airbnb.com/experiences/7054428</t>
  </si>
  <si>
    <t xml:space="preserve">Víctor Alejandro — Mexico city Nigthlife: Tacos, Cantinas &amp; Bars To</t>
  </si>
  <si>
    <t xml:space="preserve">Mexico city Nigthlife: Tacos, Cantinas &amp; Bars Tour</t>
  </si>
  <si>
    <t xml:space="preserve">https://www.airbnb.com/experiences/7036600</t>
  </si>
  <si>
    <t xml:space="preserve">VIva México Tours</t>
  </si>
  <si>
    <t xml:space="preserve">Tour en Bicicleta por Chapultepec, Reforma y el Zócalo / México</t>
  </si>
  <si>
    <t xml:space="preserve">https://vivamexicotours.com.mx/</t>
  </si>
  <si>
    <t xml:space="preserve">@viva_mexico_tours</t>
  </si>
  <si>
    <t xml:space="preserve">info@vivamexicotours.com.mx</t>
  </si>
  <si>
    <t xml:space="preserve">https://www.viator.com/es-MX/tours/Mexico-City/x/d628-456910P1</t>
  </si>
  <si>
    <t xml:space="preserve">Tour en Bicicleta por la Colonia Del Valle y Coyoacán / México</t>
  </si>
  <si>
    <t xml:space="preserve">https://www.viator.com/es-MX/tours/Mexico-City/x/d628-456910P3</t>
  </si>
  <si>
    <t xml:space="preserve">Viva Tour</t>
  </si>
  <si>
    <t xml:space="preserve">Sabores ancestrales de México en el Mercado San Juan</t>
  </si>
  <si>
    <t xml:space="preserve">https://www.viator.com/es-MX/tours/Mexico-City/x/d628-5643839P2</t>
  </si>
  <si>
    <t xml:space="preserve">Walk Mexico</t>
  </si>
  <si>
    <t xml:space="preserve">Ciudad de México: historia en las paredes. Tour a pie por los murales mexicanos</t>
  </si>
  <si>
    <t xml:space="preserve">https://www.walkmexico.com/</t>
  </si>
  <si>
    <t xml:space="preserve">book@walkmexico.com</t>
  </si>
  <si>
    <t xml:space="preserve">525529000506</t>
  </si>
  <si>
    <t xml:space="preserve">https://www.getyourguide.com/es-mx/ciudad-de-mexico-l194/-t420887/</t>
  </si>
  <si>
    <t xml:space="preserve">Ciudad de México: tour a pie por la arquitectura mexicana de los años 60 y 70</t>
  </si>
  <si>
    <t xml:space="preserve">https://www.getyourguide.com/es-mx/ciudad-de-mexico-l194/-t388543/</t>
  </si>
  <si>
    <t xml:space="preserve">Walking Tours Mexico Aztlan</t>
  </si>
  <si>
    <t xml:space="preserve">10 maravillas del Centro Histórico de la Ciudad de México comida y música</t>
  </si>
  <si>
    <t xml:space="preserve">https://walkingtoursmexicoaztlan.com/</t>
  </si>
  <si>
    <t xml:space="preserve">https://www.viator.com/es-MX/tours/Mexico-City/x/d628-112384P3</t>
  </si>
  <si>
    <t xml:space="preserve">Tour Muralismo Ciudad de México : Diego Rivera, Bellas Artes &amp; Historia</t>
  </si>
  <si>
    <t xml:space="preserve">https://www.viator.com/es-MX/tours/Mexico-City/x/d628-112384P1</t>
  </si>
  <si>
    <t xml:space="preserve">What we talk about Tours</t>
  </si>
  <si>
    <t xml:space="preserve">Murales de Ciudad de México</t>
  </si>
  <si>
    <t xml:space="preserve">https://www.viator.com/es-MX/tours/Mexico-City/x/d628-5601485P2</t>
  </si>
  <si>
    <t xml:space="preserve">Withlocals</t>
  </si>
  <si>
    <t xml:space="preserve">Tour gastronómico privado por México con lugareños que incluye 10 degustaciones</t>
  </si>
  <si>
    <t xml:space="preserve">https://www.withlocals.com/</t>
  </si>
  <si>
    <t xml:space="preserve">@withlocals</t>
  </si>
  <si>
    <t xml:space="preserve">https://www.viator.com/es-MX/tours/Mexico-City/x/d628-24380P1189</t>
  </si>
  <si>
    <t xml:space="preserve">Wro Tours</t>
  </si>
  <si>
    <t xml:space="preserve">Free tour por Santa Maria la Ribera</t>
  </si>
  <si>
    <t xml:space="preserve">diegoruvalcaba@gmail.com</t>
  </si>
  <si>
    <t xml:space="preserve">https://www.civitatis.com/es/ciudad-de-mexico/free-tour-santa-maria-ribera/</t>
  </si>
  <si>
    <t xml:space="preserve">Yalkin Mx</t>
  </si>
  <si>
    <t xml:space="preserve">Recorrido privado en el centro histórico de la Ciudad de México</t>
  </si>
  <si>
    <t xml:space="preserve">https://www.getyourguide.com/es-mx/ciudad-de-mexico-l194/-t1266321/</t>
  </si>
  <si>
    <t xml:space="preserve">Tour premium al centro histórico de Ciudad de México desde tu hotel</t>
  </si>
  <si>
    <t xml:space="preserve">https://www.getyourguide.com/es-mx/ciudad-de-mexico-l194/-t1258265/</t>
  </si>
  <si>
    <t xml:space="preserve">Total y promedio</t>
  </si>
  <si>
    <t xml:space="preserve">Promedio en las columnas de precio; suma en reseñas. Todo en pesos mexicanos.</t>
  </si>
  <si>
    <t xml:space="preserve">Anuncios</t>
  </si>
  <si>
    <t xml:space="preserve">PVP promedio (MXN)</t>
  </si>
  <si>
    <t xml:space="preserve">Neto promedio (MXN)</t>
  </si>
</sst>
</file>

<file path=xl/styles.xml><?xml version="1.0" encoding="utf-8"?>
<styleSheet xmlns="http://schemas.openxmlformats.org/spreadsheetml/2006/main">
  <numFmts count="4">
    <numFmt numFmtId="164" formatCode="General"/>
    <numFmt numFmtId="165" formatCode="0.0%"/>
    <numFmt numFmtId="166" formatCode="0.00"/>
    <numFmt numFmtId="167" formatCode="&quot;MXN &quot;#,##0;&quot;(MXN &quot;#,##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b val="true"/>
      <sz val="11"/>
      <color rgb="FF0000FF"/>
      <name val="Arial"/>
      <family val="0"/>
      <charset val="1"/>
    </font>
    <font>
      <i val="true"/>
      <sz val="9"/>
      <color rgb="FF595959"/>
      <name val="Arial"/>
      <family val="0"/>
      <charset val="1"/>
    </font>
    <font>
      <sz val="9"/>
      <color rgb="FF595959"/>
      <name val="Arial"/>
      <family val="0"/>
      <charset val="1"/>
    </font>
    <font>
      <b val="true"/>
      <sz val="10"/>
      <color rgb="FFFFFFFF"/>
      <name val="Arial"/>
      <family val="0"/>
      <charset val="1"/>
    </font>
    <font>
      <sz val="10"/>
      <name val="Arial"/>
      <family val="0"/>
      <charset val="1"/>
    </font>
    <font>
      <b val="true"/>
      <sz val="10"/>
      <name val="Arial"/>
      <family val="0"/>
      <charset val="1"/>
    </font>
    <font>
      <sz val="9"/>
      <color rgb="FF0563C1"/>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E1A16"/>
        <bgColor rgb="FF333333"/>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1E1A16"/>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4" min="2" style="1" width="18"/>
  </cols>
  <sheetData>
    <row r="1" customFormat="false" ht="17.25" hidden="false" customHeight="true" outlineLevel="0" collapsed="false">
      <c r="A1" s="2" t="s">
        <v>0</v>
      </c>
    </row>
    <row r="3" customFormat="false" ht="15" hidden="false" customHeight="true" outlineLevel="0" collapsed="false">
      <c r="A3" s="3" t="s">
        <v>1</v>
      </c>
      <c r="B3" s="4" t="n">
        <v>0.3</v>
      </c>
    </row>
    <row r="4" customFormat="false" ht="15" hidden="false" customHeight="true" outlineLevel="0" collapsed="false">
      <c r="A4" s="5" t="s">
        <v>2</v>
      </c>
      <c r="B4" s="5"/>
      <c r="C4" s="5"/>
      <c r="D4" s="5"/>
    </row>
    <row r="5" customFormat="false" ht="15" hidden="false" customHeight="true" outlineLevel="0" collapsed="false">
      <c r="A5" s="5"/>
      <c r="B5" s="5"/>
      <c r="C5" s="5"/>
      <c r="D5" s="5"/>
    </row>
    <row r="6" customFormat="false" ht="15" hidden="false" customHeight="true" outlineLevel="0" collapsed="false">
      <c r="A6" s="5"/>
      <c r="B6" s="5"/>
      <c r="C6" s="5"/>
      <c r="D6" s="5"/>
    </row>
    <row r="7" customFormat="false" ht="15" hidden="false" customHeight="true" outlineLevel="0" collapsed="false">
      <c r="A7" s="5"/>
      <c r="B7" s="5"/>
      <c r="C7" s="5"/>
      <c r="D7" s="5"/>
    </row>
    <row r="9" customFormat="false" ht="15" hidden="false" customHeight="true" outlineLevel="0" collapsed="false">
      <c r="A9" s="3" t="s">
        <v>3</v>
      </c>
    </row>
    <row r="10" customFormat="false" ht="15" hidden="false" customHeight="true" outlineLevel="0" collapsed="false">
      <c r="A10" s="6" t="s">
        <v>4</v>
      </c>
      <c r="B10" s="6"/>
      <c r="C10" s="6"/>
      <c r="D10" s="6"/>
    </row>
    <row r="11" customFormat="false" ht="15" hidden="false" customHeight="true" outlineLevel="0" collapsed="false">
      <c r="A11" s="6"/>
      <c r="B11" s="6"/>
      <c r="C11" s="6"/>
      <c r="D11" s="6"/>
    </row>
    <row r="12" customFormat="false" ht="15" hidden="false" customHeight="true" outlineLevel="0" collapsed="false">
      <c r="A12" s="6"/>
      <c r="B12" s="6"/>
      <c r="C12" s="6"/>
      <c r="D12" s="6"/>
    </row>
    <row r="13" customFormat="false" ht="15" hidden="false" customHeight="true" outlineLevel="0" collapsed="false">
      <c r="A13" s="6"/>
      <c r="B13" s="6"/>
      <c r="C13" s="6"/>
      <c r="D13" s="6"/>
    </row>
    <row r="15" customFormat="false" ht="15" hidden="false" customHeight="true" outlineLevel="0" collapsed="false">
      <c r="A15" s="3" t="s">
        <v>5</v>
      </c>
    </row>
    <row r="16" customFormat="false" ht="15" hidden="false" customHeight="true" outlineLevel="0" collapsed="false">
      <c r="A16" s="6" t="s">
        <v>6</v>
      </c>
      <c r="B16" s="6"/>
      <c r="C16" s="6"/>
      <c r="D16" s="6"/>
    </row>
    <row r="17" customFormat="false" ht="15" hidden="false" customHeight="true" outlineLevel="0" collapsed="false">
      <c r="A17" s="6"/>
      <c r="B17" s="6"/>
      <c r="C17" s="6"/>
      <c r="D17" s="6"/>
    </row>
    <row r="18" customFormat="false" ht="15" hidden="false" customHeight="true" outlineLevel="0" collapsed="false">
      <c r="A18" s="6"/>
      <c r="B18" s="6"/>
      <c r="C18" s="6"/>
      <c r="D18" s="6"/>
    </row>
    <row r="20" customFormat="false" ht="15" hidden="false" customHeight="false" outlineLevel="0" collapsed="false">
      <c r="A20" s="7" t="s">
        <v>7</v>
      </c>
    </row>
    <row r="21" customFormat="false" ht="15" hidden="false" customHeight="true" outlineLevel="0" collapsed="false">
      <c r="A21" s="6" t="s">
        <v>8</v>
      </c>
      <c r="B21" s="6"/>
      <c r="C21" s="6"/>
      <c r="D21" s="6"/>
    </row>
    <row r="22" customFormat="false" ht="15" hidden="false" customHeight="false" outlineLevel="0" collapsed="false">
      <c r="A22" s="6"/>
      <c r="B22" s="6"/>
      <c r="C22" s="6"/>
      <c r="D22" s="6"/>
    </row>
    <row r="23" customFormat="false" ht="15" hidden="false" customHeight="false" outlineLevel="0" collapsed="false">
      <c r="A23" s="6"/>
      <c r="B23" s="6"/>
      <c r="C23" s="6"/>
      <c r="D23" s="6"/>
    </row>
    <row r="24" customFormat="false" ht="15" hidden="false" customHeight="false" outlineLevel="0" collapsed="false">
      <c r="A24" s="6"/>
      <c r="B24" s="6"/>
      <c r="C24" s="6"/>
      <c r="D24" s="6"/>
    </row>
  </sheetData>
  <mergeCells count="4">
    <mergeCell ref="A4:D7"/>
    <mergeCell ref="A10:D13"/>
    <mergeCell ref="A16:D18"/>
    <mergeCell ref="A21: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46"/>
    <col collapsed="false" customWidth="true" hidden="false" outlineLevel="0" max="3" min="3" style="1" width="20"/>
    <col collapsed="false" customWidth="true" hidden="false" outlineLevel="0" max="4" min="4" style="1" width="16"/>
    <col collapsed="false" customWidth="true" hidden="false" outlineLevel="0" max="5" min="5" style="1" width="9"/>
    <col collapsed="false" customWidth="true" hidden="false" outlineLevel="0" max="6" min="6" style="1" width="10"/>
    <col collapsed="false" customWidth="true" hidden="false" outlineLevel="0" max="7" min="7" style="1" width="17"/>
    <col collapsed="false" customWidth="true" hidden="false" outlineLevel="0" max="8" min="8" style="1" width="22"/>
    <col collapsed="false" customWidth="true" hidden="false" outlineLevel="0" max="9" min="9" style="1" width="30"/>
    <col collapsed="false" customWidth="true" hidden="false" outlineLevel="0" max="10" min="10" style="1" width="18"/>
    <col collapsed="false" customWidth="true" hidden="false" outlineLevel="0" max="11" min="11" style="1" width="28"/>
    <col collapsed="false" customWidth="true" hidden="false" outlineLevel="0" max="12" min="12" style="1" width="15"/>
    <col collapsed="false" customWidth="true" hidden="false" outlineLevel="0" max="13" min="13" style="1" width="46"/>
  </cols>
  <sheetData>
    <row r="1" customFormat="false" ht="30" hidden="false" customHeight="true" outlineLevel="0" collapsed="false">
      <c r="A1" s="8" t="s">
        <v>9</v>
      </c>
      <c r="B1" s="8" t="s">
        <v>10</v>
      </c>
      <c r="C1" s="8" t="s">
        <v>11</v>
      </c>
      <c r="D1" s="8" t="s">
        <v>12</v>
      </c>
      <c r="E1" s="8" t="s">
        <v>13</v>
      </c>
      <c r="F1" s="8" t="s">
        <v>14</v>
      </c>
      <c r="G1" s="8" t="s">
        <v>15</v>
      </c>
      <c r="H1" s="8" t="s">
        <v>16</v>
      </c>
      <c r="I1" s="8" t="s">
        <v>17</v>
      </c>
      <c r="J1" s="8" t="s">
        <v>18</v>
      </c>
      <c r="K1" s="8" t="s">
        <v>19</v>
      </c>
      <c r="L1" s="8" t="s">
        <v>20</v>
      </c>
      <c r="M1" s="8" t="s">
        <v>21</v>
      </c>
    </row>
    <row r="2" customFormat="false" ht="15" hidden="false" customHeight="true" outlineLevel="0" collapsed="false">
      <c r="A2" s="9" t="s">
        <v>22</v>
      </c>
      <c r="B2" s="9" t="s">
        <v>23</v>
      </c>
      <c r="C2" s="9" t="s">
        <v>24</v>
      </c>
      <c r="D2" s="9" t="s">
        <v>25</v>
      </c>
      <c r="E2" s="10" t="n">
        <v>4.8</v>
      </c>
      <c r="F2" s="9" t="n">
        <v>6</v>
      </c>
      <c r="G2" s="11" t="n">
        <v>1558</v>
      </c>
      <c r="H2" s="12" t="n">
        <f aca="false">IF(G2="","",ROUND(G2*(1-Supuestos!$B$3),0))</f>
        <v>1091</v>
      </c>
      <c r="I2" s="9" t="s">
        <v>26</v>
      </c>
      <c r="J2" s="9" t="s">
        <v>27</v>
      </c>
      <c r="K2" s="9" t="s">
        <v>28</v>
      </c>
      <c r="L2" s="9"/>
      <c r="M2" s="13" t="s">
        <v>29</v>
      </c>
    </row>
    <row r="3" customFormat="false" ht="15" hidden="false" customHeight="true" outlineLevel="0" collapsed="false">
      <c r="A3" s="9" t="s">
        <v>30</v>
      </c>
      <c r="B3" s="9" t="s">
        <v>31</v>
      </c>
      <c r="C3" s="9" t="s">
        <v>24</v>
      </c>
      <c r="D3" s="9" t="s">
        <v>25</v>
      </c>
      <c r="E3" s="10"/>
      <c r="F3" s="9" t="n">
        <v>0</v>
      </c>
      <c r="G3" s="11" t="n">
        <v>350</v>
      </c>
      <c r="H3" s="12" t="n">
        <f aca="false">IF(G3="","",ROUND(G3*(1-Supuestos!$B$3),0))</f>
        <v>245</v>
      </c>
      <c r="I3" s="9"/>
      <c r="J3" s="9"/>
      <c r="K3" s="9"/>
      <c r="L3" s="9"/>
      <c r="M3" s="13" t="s">
        <v>32</v>
      </c>
    </row>
    <row r="4" customFormat="false" ht="15" hidden="false" customHeight="true" outlineLevel="0" collapsed="false">
      <c r="A4" s="9" t="s">
        <v>33</v>
      </c>
      <c r="B4" s="9" t="s">
        <v>34</v>
      </c>
      <c r="C4" s="9" t="s">
        <v>24</v>
      </c>
      <c r="D4" s="9" t="s">
        <v>25</v>
      </c>
      <c r="E4" s="10"/>
      <c r="F4" s="9" t="n">
        <v>0</v>
      </c>
      <c r="G4" s="11" t="n">
        <v>1715</v>
      </c>
      <c r="H4" s="12" t="n">
        <f aca="false">IF(G4="","",ROUND(G4*(1-Supuestos!$B$3),0))</f>
        <v>1201</v>
      </c>
      <c r="I4" s="9"/>
      <c r="J4" s="9"/>
      <c r="K4" s="9"/>
      <c r="L4" s="9"/>
      <c r="M4" s="13" t="s">
        <v>35</v>
      </c>
    </row>
    <row r="5" customFormat="false" ht="15" hidden="false" customHeight="true" outlineLevel="0" collapsed="false">
      <c r="A5" s="9" t="s">
        <v>36</v>
      </c>
      <c r="B5" s="9" t="s">
        <v>37</v>
      </c>
      <c r="C5" s="9" t="s">
        <v>24</v>
      </c>
      <c r="D5" s="9" t="s">
        <v>38</v>
      </c>
      <c r="E5" s="10" t="n">
        <v>5</v>
      </c>
      <c r="F5" s="9" t="n">
        <v>1</v>
      </c>
      <c r="G5" s="11" t="n">
        <v>758</v>
      </c>
      <c r="H5" s="12" t="n">
        <f aca="false">IF(G5="","",ROUND(G5*(1-Supuestos!$B$3),0))</f>
        <v>531</v>
      </c>
      <c r="I5" s="9"/>
      <c r="J5" s="9"/>
      <c r="K5" s="9"/>
      <c r="L5" s="9"/>
      <c r="M5" s="13" t="s">
        <v>39</v>
      </c>
    </row>
    <row r="6" customFormat="false" ht="15" hidden="false" customHeight="true" outlineLevel="0" collapsed="false">
      <c r="A6" s="9" t="s">
        <v>40</v>
      </c>
      <c r="B6" s="9" t="s">
        <v>41</v>
      </c>
      <c r="C6" s="9" t="s">
        <v>42</v>
      </c>
      <c r="D6" s="9" t="s">
        <v>38</v>
      </c>
      <c r="E6" s="10" t="n">
        <v>5</v>
      </c>
      <c r="F6" s="9" t="n">
        <v>4</v>
      </c>
      <c r="G6" s="11" t="n">
        <v>1480</v>
      </c>
      <c r="H6" s="12" t="n">
        <f aca="false">IF(G6="","",ROUND(G6*(1-Supuestos!$B$3),0))</f>
        <v>1036</v>
      </c>
      <c r="I6" s="9"/>
      <c r="J6" s="9"/>
      <c r="K6" s="9"/>
      <c r="L6" s="9"/>
      <c r="M6" s="13" t="s">
        <v>43</v>
      </c>
    </row>
    <row r="7" customFormat="false" ht="15" hidden="false" customHeight="true" outlineLevel="0" collapsed="false">
      <c r="A7" s="9" t="s">
        <v>44</v>
      </c>
      <c r="B7" s="9" t="s">
        <v>45</v>
      </c>
      <c r="C7" s="9" t="s">
        <v>46</v>
      </c>
      <c r="D7" s="9" t="s">
        <v>38</v>
      </c>
      <c r="E7" s="10"/>
      <c r="F7" s="9" t="n">
        <v>0</v>
      </c>
      <c r="G7" s="11" t="n">
        <v>703</v>
      </c>
      <c r="H7" s="12" t="n">
        <f aca="false">IF(G7="","",ROUND(G7*(1-Supuestos!$B$3),0))</f>
        <v>492</v>
      </c>
      <c r="I7" s="9" t="s">
        <v>47</v>
      </c>
      <c r="J7" s="9"/>
      <c r="K7" s="9"/>
      <c r="L7" s="9" t="s">
        <v>48</v>
      </c>
      <c r="M7" s="13" t="s">
        <v>49</v>
      </c>
    </row>
    <row r="8" customFormat="false" ht="15" hidden="false" customHeight="true" outlineLevel="0" collapsed="false">
      <c r="A8" s="9" t="s">
        <v>44</v>
      </c>
      <c r="B8" s="9" t="s">
        <v>45</v>
      </c>
      <c r="C8" s="9" t="s">
        <v>46</v>
      </c>
      <c r="D8" s="9" t="s">
        <v>50</v>
      </c>
      <c r="E8" s="10" t="n">
        <v>5</v>
      </c>
      <c r="F8" s="9" t="n">
        <v>10</v>
      </c>
      <c r="G8" s="11" t="n">
        <v>630</v>
      </c>
      <c r="H8" s="12" t="n">
        <f aca="false">IF(G8="","",ROUND(G8*(1-Supuestos!$B$3),0))</f>
        <v>441</v>
      </c>
      <c r="I8" s="9" t="s">
        <v>47</v>
      </c>
      <c r="J8" s="9"/>
      <c r="K8" s="9"/>
      <c r="L8" s="9" t="s">
        <v>48</v>
      </c>
      <c r="M8" s="13" t="s">
        <v>51</v>
      </c>
    </row>
    <row r="9" customFormat="false" ht="15" hidden="false" customHeight="true" outlineLevel="0" collapsed="false">
      <c r="A9" s="9" t="s">
        <v>44</v>
      </c>
      <c r="B9" s="9" t="s">
        <v>52</v>
      </c>
      <c r="C9" s="9" t="s">
        <v>24</v>
      </c>
      <c r="D9" s="9" t="s">
        <v>50</v>
      </c>
      <c r="E9" s="10" t="n">
        <v>5</v>
      </c>
      <c r="F9" s="9" t="n">
        <v>6</v>
      </c>
      <c r="G9" s="11" t="n">
        <v>675</v>
      </c>
      <c r="H9" s="12" t="n">
        <f aca="false">IF(G9="","",ROUND(G9*(1-Supuestos!$B$3),0))</f>
        <v>472</v>
      </c>
      <c r="I9" s="9" t="s">
        <v>47</v>
      </c>
      <c r="J9" s="9"/>
      <c r="K9" s="9"/>
      <c r="L9" s="9" t="s">
        <v>48</v>
      </c>
      <c r="M9" s="13" t="s">
        <v>53</v>
      </c>
    </row>
    <row r="10" customFormat="false" ht="15" hidden="false" customHeight="true" outlineLevel="0" collapsed="false">
      <c r="A10" s="9" t="s">
        <v>44</v>
      </c>
      <c r="B10" s="9" t="s">
        <v>52</v>
      </c>
      <c r="C10" s="9" t="s">
        <v>24</v>
      </c>
      <c r="D10" s="9" t="s">
        <v>38</v>
      </c>
      <c r="E10" s="10" t="n">
        <v>5</v>
      </c>
      <c r="F10" s="9" t="n">
        <v>2</v>
      </c>
      <c r="G10" s="11" t="n">
        <v>814</v>
      </c>
      <c r="H10" s="12" t="n">
        <f aca="false">IF(G10="","",ROUND(G10*(1-Supuestos!$B$3),0))</f>
        <v>570</v>
      </c>
      <c r="I10" s="9" t="s">
        <v>47</v>
      </c>
      <c r="J10" s="9"/>
      <c r="K10" s="9"/>
      <c r="L10" s="9" t="s">
        <v>48</v>
      </c>
      <c r="M10" s="13" t="s">
        <v>54</v>
      </c>
    </row>
    <row r="11" customFormat="false" ht="15" hidden="false" customHeight="true" outlineLevel="0" collapsed="false">
      <c r="A11" s="9" t="s">
        <v>44</v>
      </c>
      <c r="B11" s="9" t="s">
        <v>52</v>
      </c>
      <c r="C11" s="9" t="s">
        <v>24</v>
      </c>
      <c r="D11" s="9" t="s">
        <v>25</v>
      </c>
      <c r="E11" s="10"/>
      <c r="F11" s="9" t="n">
        <v>0</v>
      </c>
      <c r="G11" s="11" t="n">
        <v>850</v>
      </c>
      <c r="H11" s="12" t="n">
        <f aca="false">IF(G11="","",ROUND(G11*(1-Supuestos!$B$3),0))</f>
        <v>595</v>
      </c>
      <c r="I11" s="9" t="s">
        <v>47</v>
      </c>
      <c r="J11" s="9"/>
      <c r="K11" s="9"/>
      <c r="L11" s="9" t="s">
        <v>48</v>
      </c>
      <c r="M11" s="13" t="s">
        <v>55</v>
      </c>
    </row>
    <row r="12" customFormat="false" ht="15" hidden="false" customHeight="true" outlineLevel="0" collapsed="false">
      <c r="A12" s="9" t="s">
        <v>44</v>
      </c>
      <c r="B12" s="9" t="s">
        <v>56</v>
      </c>
      <c r="C12" s="9" t="s">
        <v>46</v>
      </c>
      <c r="D12" s="9" t="s">
        <v>38</v>
      </c>
      <c r="E12" s="10"/>
      <c r="F12" s="9" t="n">
        <v>0</v>
      </c>
      <c r="G12" s="11" t="n">
        <v>703</v>
      </c>
      <c r="H12" s="12" t="n">
        <f aca="false">IF(G12="","",ROUND(G12*(1-Supuestos!$B$3),0))</f>
        <v>492</v>
      </c>
      <c r="I12" s="9" t="s">
        <v>47</v>
      </c>
      <c r="J12" s="9"/>
      <c r="K12" s="9"/>
      <c r="L12" s="9" t="s">
        <v>48</v>
      </c>
      <c r="M12" s="13" t="s">
        <v>57</v>
      </c>
    </row>
    <row r="13" customFormat="false" ht="15" hidden="false" customHeight="true" outlineLevel="0" collapsed="false">
      <c r="A13" s="9" t="s">
        <v>44</v>
      </c>
      <c r="B13" s="9" t="s">
        <v>58</v>
      </c>
      <c r="C13" s="9" t="s">
        <v>24</v>
      </c>
      <c r="D13" s="9" t="s">
        <v>38</v>
      </c>
      <c r="E13" s="10" t="n">
        <v>5</v>
      </c>
      <c r="F13" s="9" t="n">
        <v>2</v>
      </c>
      <c r="G13" s="11" t="n">
        <v>814</v>
      </c>
      <c r="H13" s="12" t="n">
        <f aca="false">IF(G13="","",ROUND(G13*(1-Supuestos!$B$3),0))</f>
        <v>570</v>
      </c>
      <c r="I13" s="9" t="s">
        <v>47</v>
      </c>
      <c r="J13" s="9"/>
      <c r="K13" s="9"/>
      <c r="L13" s="9" t="s">
        <v>48</v>
      </c>
      <c r="M13" s="13" t="s">
        <v>59</v>
      </c>
    </row>
    <row r="14" customFormat="false" ht="15" hidden="false" customHeight="true" outlineLevel="0" collapsed="false">
      <c r="A14" s="9" t="s">
        <v>60</v>
      </c>
      <c r="B14" s="9" t="s">
        <v>61</v>
      </c>
      <c r="C14" s="9" t="s">
        <v>24</v>
      </c>
      <c r="D14" s="9" t="s">
        <v>38</v>
      </c>
      <c r="E14" s="10" t="n">
        <v>4.93</v>
      </c>
      <c r="F14" s="9" t="n">
        <v>509</v>
      </c>
      <c r="G14" s="11" t="n">
        <v>814</v>
      </c>
      <c r="H14" s="12" t="n">
        <f aca="false">IF(G14="","",ROUND(G14*(1-Supuestos!$B$3),0))</f>
        <v>570</v>
      </c>
      <c r="I14" s="9"/>
      <c r="J14" s="9"/>
      <c r="K14" s="9"/>
      <c r="L14" s="9"/>
      <c r="M14" s="13" t="s">
        <v>62</v>
      </c>
    </row>
    <row r="15" customFormat="false" ht="15" hidden="false" customHeight="true" outlineLevel="0" collapsed="false">
      <c r="A15" s="9" t="s">
        <v>63</v>
      </c>
      <c r="B15" s="9" t="s">
        <v>64</v>
      </c>
      <c r="C15" s="9" t="s">
        <v>24</v>
      </c>
      <c r="D15" s="9" t="s">
        <v>25</v>
      </c>
      <c r="E15" s="10"/>
      <c r="F15" s="9" t="n">
        <v>0</v>
      </c>
      <c r="G15" s="11" t="n">
        <v>2600</v>
      </c>
      <c r="H15" s="12" t="n">
        <f aca="false">IF(G15="","",ROUND(G15*(1-Supuestos!$B$3),0))</f>
        <v>1820</v>
      </c>
      <c r="I15" s="9"/>
      <c r="J15" s="9"/>
      <c r="K15" s="9"/>
      <c r="L15" s="9"/>
      <c r="M15" s="13" t="s">
        <v>65</v>
      </c>
    </row>
    <row r="16" customFormat="false" ht="15" hidden="false" customHeight="true" outlineLevel="0" collapsed="false">
      <c r="A16" s="9" t="s">
        <v>66</v>
      </c>
      <c r="B16" s="9" t="s">
        <v>67</v>
      </c>
      <c r="C16" s="9" t="s">
        <v>24</v>
      </c>
      <c r="D16" s="9" t="s">
        <v>25</v>
      </c>
      <c r="E16" s="10"/>
      <c r="F16" s="9" t="n">
        <v>0</v>
      </c>
      <c r="G16" s="11" t="n">
        <v>2000</v>
      </c>
      <c r="H16" s="12" t="n">
        <f aca="false">IF(G16="","",ROUND(G16*(1-Supuestos!$B$3),0))</f>
        <v>1400</v>
      </c>
      <c r="I16" s="9"/>
      <c r="J16" s="9"/>
      <c r="K16" s="9"/>
      <c r="L16" s="9"/>
      <c r="M16" s="13" t="s">
        <v>68</v>
      </c>
    </row>
    <row r="17" customFormat="false" ht="15" hidden="false" customHeight="true" outlineLevel="0" collapsed="false">
      <c r="A17" s="9" t="s">
        <v>69</v>
      </c>
      <c r="B17" s="9" t="s">
        <v>70</v>
      </c>
      <c r="C17" s="9" t="s">
        <v>24</v>
      </c>
      <c r="D17" s="9" t="s">
        <v>50</v>
      </c>
      <c r="E17" s="10" t="n">
        <v>3.65</v>
      </c>
      <c r="F17" s="9" t="n">
        <v>42</v>
      </c>
      <c r="G17" s="11" t="n">
        <v>617.39</v>
      </c>
      <c r="H17" s="12" t="n">
        <f aca="false">IF(G17="","",ROUND(G17*(1-Supuestos!$B$3),0))</f>
        <v>432</v>
      </c>
      <c r="I17" s="9" t="s">
        <v>71</v>
      </c>
      <c r="J17" s="9" t="s">
        <v>72</v>
      </c>
      <c r="K17" s="9" t="s">
        <v>73</v>
      </c>
      <c r="L17" s="9" t="s">
        <v>74</v>
      </c>
      <c r="M17" s="13" t="s">
        <v>75</v>
      </c>
    </row>
    <row r="18" customFormat="false" ht="15" hidden="false" customHeight="true" outlineLevel="0" collapsed="false">
      <c r="A18" s="9" t="s">
        <v>69</v>
      </c>
      <c r="B18" s="9" t="s">
        <v>70</v>
      </c>
      <c r="C18" s="9" t="s">
        <v>24</v>
      </c>
      <c r="D18" s="9" t="s">
        <v>25</v>
      </c>
      <c r="E18" s="10" t="n">
        <v>4.3</v>
      </c>
      <c r="F18" s="9" t="n">
        <v>48</v>
      </c>
      <c r="G18" s="11" t="n">
        <v>630</v>
      </c>
      <c r="H18" s="12" t="n">
        <f aca="false">IF(G18="","",ROUND(G18*(1-Supuestos!$B$3),0))</f>
        <v>441</v>
      </c>
      <c r="I18" s="9" t="s">
        <v>71</v>
      </c>
      <c r="J18" s="9" t="s">
        <v>72</v>
      </c>
      <c r="K18" s="9" t="s">
        <v>73</v>
      </c>
      <c r="L18" s="9" t="s">
        <v>74</v>
      </c>
      <c r="M18" s="13" t="s">
        <v>76</v>
      </c>
    </row>
    <row r="19" customFormat="false" ht="15" hidden="false" customHeight="true" outlineLevel="0" collapsed="false">
      <c r="A19" s="9" t="s">
        <v>69</v>
      </c>
      <c r="B19" s="9" t="s">
        <v>77</v>
      </c>
      <c r="C19" s="9" t="s">
        <v>46</v>
      </c>
      <c r="D19" s="9" t="s">
        <v>25</v>
      </c>
      <c r="E19" s="10" t="n">
        <v>4.7</v>
      </c>
      <c r="F19" s="9" t="n">
        <v>24</v>
      </c>
      <c r="G19" s="11" t="n">
        <v>2118</v>
      </c>
      <c r="H19" s="12" t="n">
        <f aca="false">IF(G19="","",ROUND(G19*(1-Supuestos!$B$3),0))</f>
        <v>1483</v>
      </c>
      <c r="I19" s="9" t="s">
        <v>71</v>
      </c>
      <c r="J19" s="9" t="s">
        <v>72</v>
      </c>
      <c r="K19" s="9" t="s">
        <v>73</v>
      </c>
      <c r="L19" s="9" t="s">
        <v>74</v>
      </c>
      <c r="M19" s="13" t="s">
        <v>78</v>
      </c>
    </row>
    <row r="20" customFormat="false" ht="15" hidden="false" customHeight="true" outlineLevel="0" collapsed="false">
      <c r="A20" s="9" t="s">
        <v>69</v>
      </c>
      <c r="B20" s="9" t="s">
        <v>77</v>
      </c>
      <c r="C20" s="9" t="s">
        <v>46</v>
      </c>
      <c r="D20" s="9" t="s">
        <v>50</v>
      </c>
      <c r="E20" s="10" t="n">
        <v>4.78</v>
      </c>
      <c r="F20" s="9" t="n">
        <v>16</v>
      </c>
      <c r="G20" s="11" t="n">
        <v>2418.09</v>
      </c>
      <c r="H20" s="12" t="n">
        <f aca="false">IF(G20="","",ROUND(G20*(1-Supuestos!$B$3),0))</f>
        <v>1693</v>
      </c>
      <c r="I20" s="9" t="s">
        <v>71</v>
      </c>
      <c r="J20" s="9" t="s">
        <v>72</v>
      </c>
      <c r="K20" s="9" t="s">
        <v>73</v>
      </c>
      <c r="L20" s="9" t="s">
        <v>74</v>
      </c>
      <c r="M20" s="13" t="s">
        <v>79</v>
      </c>
    </row>
    <row r="21" customFormat="false" ht="15" hidden="false" customHeight="true" outlineLevel="0" collapsed="false">
      <c r="A21" s="9" t="s">
        <v>69</v>
      </c>
      <c r="B21" s="9" t="s">
        <v>80</v>
      </c>
      <c r="C21" s="9" t="s">
        <v>24</v>
      </c>
      <c r="D21" s="9" t="s">
        <v>38</v>
      </c>
      <c r="E21" s="10"/>
      <c r="F21" s="9" t="n">
        <v>0</v>
      </c>
      <c r="G21" s="11" t="n">
        <v>1517</v>
      </c>
      <c r="H21" s="12" t="n">
        <f aca="false">IF(G21="","",ROUND(G21*(1-Supuestos!$B$3),0))</f>
        <v>1062</v>
      </c>
      <c r="I21" s="9" t="s">
        <v>71</v>
      </c>
      <c r="J21" s="9" t="s">
        <v>72</v>
      </c>
      <c r="K21" s="9" t="s">
        <v>73</v>
      </c>
      <c r="L21" s="9" t="s">
        <v>74</v>
      </c>
      <c r="M21" s="13" t="s">
        <v>81</v>
      </c>
    </row>
    <row r="22" customFormat="false" ht="15" hidden="false" customHeight="true" outlineLevel="0" collapsed="false">
      <c r="A22" s="9" t="s">
        <v>69</v>
      </c>
      <c r="B22" s="9" t="s">
        <v>82</v>
      </c>
      <c r="C22" s="9" t="s">
        <v>24</v>
      </c>
      <c r="D22" s="9" t="s">
        <v>50</v>
      </c>
      <c r="E22" s="10" t="n">
        <v>4.36</v>
      </c>
      <c r="F22" s="9" t="n">
        <v>36</v>
      </c>
      <c r="G22" s="11" t="n">
        <v>823.18</v>
      </c>
      <c r="H22" s="12" t="n">
        <f aca="false">IF(G22="","",ROUND(G22*(1-Supuestos!$B$3),0))</f>
        <v>576</v>
      </c>
      <c r="I22" s="9" t="s">
        <v>71</v>
      </c>
      <c r="J22" s="9" t="s">
        <v>72</v>
      </c>
      <c r="K22" s="9" t="s">
        <v>73</v>
      </c>
      <c r="L22" s="9" t="s">
        <v>74</v>
      </c>
      <c r="M22" s="13" t="s">
        <v>83</v>
      </c>
    </row>
    <row r="23" customFormat="false" ht="15" hidden="false" customHeight="true" outlineLevel="0" collapsed="false">
      <c r="A23" s="9" t="s">
        <v>69</v>
      </c>
      <c r="B23" s="9" t="s">
        <v>84</v>
      </c>
      <c r="C23" s="9" t="s">
        <v>24</v>
      </c>
      <c r="D23" s="9" t="s">
        <v>38</v>
      </c>
      <c r="E23" s="10" t="n">
        <v>4.5</v>
      </c>
      <c r="F23" s="9" t="n">
        <v>2</v>
      </c>
      <c r="G23" s="11" t="n">
        <v>1073</v>
      </c>
      <c r="H23" s="12" t="n">
        <f aca="false">IF(G23="","",ROUND(G23*(1-Supuestos!$B$3),0))</f>
        <v>751</v>
      </c>
      <c r="I23" s="9" t="s">
        <v>71</v>
      </c>
      <c r="J23" s="9" t="s">
        <v>72</v>
      </c>
      <c r="K23" s="9" t="s">
        <v>73</v>
      </c>
      <c r="L23" s="9" t="s">
        <v>74</v>
      </c>
      <c r="M23" s="13" t="s">
        <v>85</v>
      </c>
    </row>
    <row r="24" customFormat="false" ht="15" hidden="false" customHeight="true" outlineLevel="0" collapsed="false">
      <c r="A24" s="9" t="s">
        <v>69</v>
      </c>
      <c r="B24" s="9" t="s">
        <v>84</v>
      </c>
      <c r="C24" s="9" t="s">
        <v>24</v>
      </c>
      <c r="D24" s="9" t="s">
        <v>25</v>
      </c>
      <c r="E24" s="10" t="n">
        <v>4.3</v>
      </c>
      <c r="F24" s="9" t="n">
        <v>23</v>
      </c>
      <c r="G24" s="11" t="n">
        <v>1103</v>
      </c>
      <c r="H24" s="12" t="n">
        <f aca="false">IF(G24="","",ROUND(G24*(1-Supuestos!$B$3),0))</f>
        <v>772</v>
      </c>
      <c r="I24" s="9" t="s">
        <v>71</v>
      </c>
      <c r="J24" s="9" t="s">
        <v>72</v>
      </c>
      <c r="K24" s="9" t="s">
        <v>73</v>
      </c>
      <c r="L24" s="9" t="s">
        <v>74</v>
      </c>
      <c r="M24" s="13" t="s">
        <v>86</v>
      </c>
    </row>
    <row r="25" customFormat="false" ht="15" hidden="false" customHeight="true" outlineLevel="0" collapsed="false">
      <c r="A25" s="9" t="s">
        <v>69</v>
      </c>
      <c r="B25" s="9" t="s">
        <v>87</v>
      </c>
      <c r="C25" s="9" t="s">
        <v>24</v>
      </c>
      <c r="D25" s="9" t="s">
        <v>88</v>
      </c>
      <c r="E25" s="10" t="n">
        <v>4.65</v>
      </c>
      <c r="F25" s="9" t="n">
        <v>3</v>
      </c>
      <c r="G25" s="11" t="n">
        <v>4562</v>
      </c>
      <c r="H25" s="12" t="n">
        <f aca="false">IF(G25="","",ROUND(G25*(1-Supuestos!$B$3),0))</f>
        <v>3193</v>
      </c>
      <c r="I25" s="9" t="s">
        <v>71</v>
      </c>
      <c r="J25" s="9" t="s">
        <v>72</v>
      </c>
      <c r="K25" s="9" t="s">
        <v>73</v>
      </c>
      <c r="L25" s="9" t="s">
        <v>74</v>
      </c>
      <c r="M25" s="13" t="s">
        <v>89</v>
      </c>
    </row>
    <row r="26" customFormat="false" ht="15" hidden="false" customHeight="true" outlineLevel="0" collapsed="false">
      <c r="A26" s="9" t="s">
        <v>90</v>
      </c>
      <c r="B26" s="9" t="s">
        <v>91</v>
      </c>
      <c r="C26" s="9" t="s">
        <v>24</v>
      </c>
      <c r="D26" s="9" t="s">
        <v>25</v>
      </c>
      <c r="E26" s="10" t="n">
        <v>4</v>
      </c>
      <c r="F26" s="9" t="n">
        <v>1</v>
      </c>
      <c r="G26" s="11" t="n">
        <v>1558</v>
      </c>
      <c r="H26" s="12" t="n">
        <f aca="false">IF(G26="","",ROUND(G26*(1-Supuestos!$B$3),0))</f>
        <v>1091</v>
      </c>
      <c r="I26" s="9"/>
      <c r="J26" s="9"/>
      <c r="K26" s="9"/>
      <c r="L26" s="9"/>
      <c r="M26" s="13" t="s">
        <v>92</v>
      </c>
    </row>
    <row r="27" customFormat="false" ht="15" hidden="false" customHeight="true" outlineLevel="0" collapsed="false">
      <c r="A27" s="9" t="s">
        <v>93</v>
      </c>
      <c r="B27" s="9" t="s">
        <v>94</v>
      </c>
      <c r="C27" s="9" t="s">
        <v>24</v>
      </c>
      <c r="D27" s="9" t="s">
        <v>38</v>
      </c>
      <c r="E27" s="10"/>
      <c r="F27" s="9" t="n">
        <v>0</v>
      </c>
      <c r="G27" s="11" t="n">
        <v>870</v>
      </c>
      <c r="H27" s="12" t="n">
        <f aca="false">IF(G27="","",ROUND(G27*(1-Supuestos!$B$3),0))</f>
        <v>609</v>
      </c>
      <c r="I27" s="9"/>
      <c r="J27" s="9"/>
      <c r="K27" s="9"/>
      <c r="L27" s="9"/>
      <c r="M27" s="13" t="s">
        <v>95</v>
      </c>
    </row>
    <row r="28" customFormat="false" ht="15" hidden="false" customHeight="true" outlineLevel="0" collapsed="false">
      <c r="A28" s="9" t="s">
        <v>96</v>
      </c>
      <c r="B28" s="9" t="s">
        <v>97</v>
      </c>
      <c r="C28" s="9" t="s">
        <v>24</v>
      </c>
      <c r="D28" s="9" t="s">
        <v>38</v>
      </c>
      <c r="E28" s="10"/>
      <c r="F28" s="9" t="n">
        <v>0</v>
      </c>
      <c r="G28" s="11" t="n">
        <v>666</v>
      </c>
      <c r="H28" s="12" t="n">
        <f aca="false">IF(G28="","",ROUND(G28*(1-Supuestos!$B$3),0))</f>
        <v>466</v>
      </c>
      <c r="I28" s="9"/>
      <c r="J28" s="9"/>
      <c r="K28" s="9"/>
      <c r="L28" s="9"/>
      <c r="M28" s="13" t="s">
        <v>98</v>
      </c>
    </row>
    <row r="29" customFormat="false" ht="15" hidden="false" customHeight="true" outlineLevel="0" collapsed="false">
      <c r="A29" s="9" t="s">
        <v>96</v>
      </c>
      <c r="B29" s="9" t="s">
        <v>99</v>
      </c>
      <c r="C29" s="9" t="s">
        <v>24</v>
      </c>
      <c r="D29" s="9" t="s">
        <v>25</v>
      </c>
      <c r="E29" s="10"/>
      <c r="F29" s="9" t="n">
        <v>0</v>
      </c>
      <c r="G29" s="11" t="n">
        <v>700</v>
      </c>
      <c r="H29" s="12" t="n">
        <f aca="false">IF(G29="","",ROUND(G29*(1-Supuestos!$B$3),0))</f>
        <v>490</v>
      </c>
      <c r="I29" s="9"/>
      <c r="J29" s="9"/>
      <c r="K29" s="9"/>
      <c r="L29" s="9"/>
      <c r="M29" s="13" t="s">
        <v>100</v>
      </c>
    </row>
    <row r="30" customFormat="false" ht="15" hidden="false" customHeight="true" outlineLevel="0" collapsed="false">
      <c r="A30" s="9" t="s">
        <v>96</v>
      </c>
      <c r="B30" s="9" t="s">
        <v>101</v>
      </c>
      <c r="C30" s="9" t="s">
        <v>24</v>
      </c>
      <c r="D30" s="9" t="s">
        <v>25</v>
      </c>
      <c r="E30" s="10"/>
      <c r="F30" s="9" t="n">
        <v>0</v>
      </c>
      <c r="G30" s="11" t="n">
        <v>600</v>
      </c>
      <c r="H30" s="12" t="n">
        <f aca="false">IF(G30="","",ROUND(G30*(1-Supuestos!$B$3),0))</f>
        <v>420</v>
      </c>
      <c r="I30" s="9"/>
      <c r="J30" s="9"/>
      <c r="K30" s="9"/>
      <c r="L30" s="9"/>
      <c r="M30" s="13" t="s">
        <v>102</v>
      </c>
    </row>
    <row r="31" customFormat="false" ht="15" hidden="false" customHeight="true" outlineLevel="0" collapsed="false">
      <c r="A31" s="9" t="s">
        <v>103</v>
      </c>
      <c r="B31" s="9" t="s">
        <v>104</v>
      </c>
      <c r="C31" s="9" t="s">
        <v>24</v>
      </c>
      <c r="D31" s="9" t="s">
        <v>38</v>
      </c>
      <c r="E31" s="10" t="n">
        <v>5</v>
      </c>
      <c r="F31" s="9" t="n">
        <v>16</v>
      </c>
      <c r="G31" s="11" t="n">
        <v>1314</v>
      </c>
      <c r="H31" s="12" t="n">
        <f aca="false">IF(G31="","",ROUND(G31*(1-Supuestos!$B$3),0))</f>
        <v>920</v>
      </c>
      <c r="I31" s="9"/>
      <c r="J31" s="9"/>
      <c r="K31" s="9"/>
      <c r="L31" s="9"/>
      <c r="M31" s="13" t="s">
        <v>105</v>
      </c>
    </row>
    <row r="32" customFormat="false" ht="15" hidden="false" customHeight="true" outlineLevel="0" collapsed="false">
      <c r="A32" s="9" t="s">
        <v>106</v>
      </c>
      <c r="B32" s="9" t="s">
        <v>107</v>
      </c>
      <c r="C32" s="9" t="s">
        <v>24</v>
      </c>
      <c r="D32" s="9" t="s">
        <v>38</v>
      </c>
      <c r="E32" s="10"/>
      <c r="F32" s="9" t="n">
        <v>0</v>
      </c>
      <c r="G32" s="11" t="n">
        <v>870</v>
      </c>
      <c r="H32" s="12" t="n">
        <f aca="false">IF(G32="","",ROUND(G32*(1-Supuestos!$B$3),0))</f>
        <v>609</v>
      </c>
      <c r="I32" s="9"/>
      <c r="J32" s="9"/>
      <c r="K32" s="9"/>
      <c r="L32" s="9"/>
      <c r="M32" s="13" t="s">
        <v>108</v>
      </c>
    </row>
    <row r="33" customFormat="false" ht="15" hidden="false" customHeight="true" outlineLevel="0" collapsed="false">
      <c r="A33" s="9" t="s">
        <v>109</v>
      </c>
      <c r="B33" s="9" t="s">
        <v>110</v>
      </c>
      <c r="C33" s="9" t="s">
        <v>24</v>
      </c>
      <c r="D33" s="9" t="s">
        <v>38</v>
      </c>
      <c r="E33" s="10"/>
      <c r="F33" s="9" t="n">
        <v>0</v>
      </c>
      <c r="G33" s="11" t="n">
        <v>1628</v>
      </c>
      <c r="H33" s="12" t="n">
        <f aca="false">IF(G33="","",ROUND(G33*(1-Supuestos!$B$3),0))</f>
        <v>1140</v>
      </c>
      <c r="I33" s="9"/>
      <c r="J33" s="9"/>
      <c r="K33" s="9"/>
      <c r="L33" s="9"/>
      <c r="M33" s="13" t="s">
        <v>111</v>
      </c>
    </row>
    <row r="34" customFormat="false" ht="15" hidden="false" customHeight="true" outlineLevel="0" collapsed="false">
      <c r="A34" s="9" t="s">
        <v>112</v>
      </c>
      <c r="B34" s="9" t="s">
        <v>113</v>
      </c>
      <c r="C34" s="9" t="s">
        <v>24</v>
      </c>
      <c r="D34" s="9" t="s">
        <v>25</v>
      </c>
      <c r="E34" s="10"/>
      <c r="F34" s="9" t="n">
        <v>0</v>
      </c>
      <c r="G34" s="11" t="n">
        <v>1200</v>
      </c>
      <c r="H34" s="12" t="n">
        <f aca="false">IF(G34="","",ROUND(G34*(1-Supuestos!$B$3),0))</f>
        <v>840</v>
      </c>
      <c r="I34" s="9"/>
      <c r="J34" s="9"/>
      <c r="K34" s="9"/>
      <c r="L34" s="9"/>
      <c r="M34" s="13" t="s">
        <v>114</v>
      </c>
    </row>
    <row r="35" customFormat="false" ht="15" hidden="false" customHeight="true" outlineLevel="0" collapsed="false">
      <c r="A35" s="9" t="s">
        <v>115</v>
      </c>
      <c r="B35" s="9" t="s">
        <v>116</v>
      </c>
      <c r="C35" s="9" t="s">
        <v>24</v>
      </c>
      <c r="D35" s="9" t="s">
        <v>38</v>
      </c>
      <c r="E35" s="10"/>
      <c r="F35" s="9" t="n">
        <v>0</v>
      </c>
      <c r="G35" s="11" t="n">
        <v>1073</v>
      </c>
      <c r="H35" s="12" t="n">
        <f aca="false">IF(G35="","",ROUND(G35*(1-Supuestos!$B$3),0))</f>
        <v>751</v>
      </c>
      <c r="I35" s="9"/>
      <c r="J35" s="9"/>
      <c r="K35" s="9"/>
      <c r="L35" s="9"/>
      <c r="M35" s="13" t="s">
        <v>117</v>
      </c>
    </row>
    <row r="36" customFormat="false" ht="15" hidden="false" customHeight="true" outlineLevel="0" collapsed="false">
      <c r="A36" s="9" t="s">
        <v>115</v>
      </c>
      <c r="B36" s="9" t="s">
        <v>118</v>
      </c>
      <c r="C36" s="9" t="s">
        <v>24</v>
      </c>
      <c r="D36" s="9" t="s">
        <v>38</v>
      </c>
      <c r="E36" s="10"/>
      <c r="F36" s="9" t="n">
        <v>0</v>
      </c>
      <c r="G36" s="11" t="n">
        <v>1073</v>
      </c>
      <c r="H36" s="12" t="n">
        <f aca="false">IF(G36="","",ROUND(G36*(1-Supuestos!$B$3),0))</f>
        <v>751</v>
      </c>
      <c r="I36" s="9"/>
      <c r="J36" s="9"/>
      <c r="K36" s="9"/>
      <c r="L36" s="9"/>
      <c r="M36" s="13" t="s">
        <v>119</v>
      </c>
    </row>
    <row r="37" customFormat="false" ht="15" hidden="false" customHeight="true" outlineLevel="0" collapsed="false">
      <c r="A37" s="9" t="s">
        <v>120</v>
      </c>
      <c r="B37" s="9" t="s">
        <v>121</v>
      </c>
      <c r="C37" s="9" t="s">
        <v>24</v>
      </c>
      <c r="D37" s="9" t="s">
        <v>25</v>
      </c>
      <c r="E37" s="10" t="n">
        <v>5</v>
      </c>
      <c r="F37" s="9" t="n">
        <v>1</v>
      </c>
      <c r="G37" s="11" t="n">
        <v>1733</v>
      </c>
      <c r="H37" s="12" t="n">
        <f aca="false">IF(G37="","",ROUND(G37*(1-Supuestos!$B$3),0))</f>
        <v>1213</v>
      </c>
      <c r="I37" s="9"/>
      <c r="J37" s="9"/>
      <c r="K37" s="9"/>
      <c r="L37" s="9"/>
      <c r="M37" s="13" t="s">
        <v>122</v>
      </c>
    </row>
    <row r="38" customFormat="false" ht="15" hidden="false" customHeight="true" outlineLevel="0" collapsed="false">
      <c r="A38" s="9" t="s">
        <v>123</v>
      </c>
      <c r="B38" s="9" t="s">
        <v>124</v>
      </c>
      <c r="C38" s="9" t="s">
        <v>24</v>
      </c>
      <c r="D38" s="9" t="s">
        <v>50</v>
      </c>
      <c r="E38" s="10"/>
      <c r="F38" s="9" t="n">
        <v>0</v>
      </c>
      <c r="G38" s="11" t="n">
        <v>350</v>
      </c>
      <c r="H38" s="12" t="n">
        <f aca="false">IF(G38="","",ROUND(G38*(1-Supuestos!$B$3),0))</f>
        <v>245</v>
      </c>
      <c r="I38" s="9"/>
      <c r="J38" s="9"/>
      <c r="K38" s="9"/>
      <c r="L38" s="9"/>
      <c r="M38" s="13" t="s">
        <v>125</v>
      </c>
    </row>
    <row r="39" customFormat="false" ht="15" hidden="false" customHeight="true" outlineLevel="0" collapsed="false">
      <c r="A39" s="9" t="s">
        <v>126</v>
      </c>
      <c r="B39" s="9" t="s">
        <v>127</v>
      </c>
      <c r="C39" s="9" t="s">
        <v>24</v>
      </c>
      <c r="D39" s="9" t="s">
        <v>50</v>
      </c>
      <c r="E39" s="10"/>
      <c r="F39" s="9" t="n">
        <v>0</v>
      </c>
      <c r="G39" s="11" t="n">
        <v>2500</v>
      </c>
      <c r="H39" s="12" t="n">
        <f aca="false">IF(G39="","",ROUND(G39*(1-Supuestos!$B$3),0))</f>
        <v>1750</v>
      </c>
      <c r="I39" s="9"/>
      <c r="J39" s="9"/>
      <c r="K39" s="9"/>
      <c r="L39" s="9"/>
      <c r="M39" s="13" t="s">
        <v>128</v>
      </c>
    </row>
    <row r="40" customFormat="false" ht="15" hidden="false" customHeight="true" outlineLevel="0" collapsed="false">
      <c r="A40" s="9" t="s">
        <v>126</v>
      </c>
      <c r="B40" s="9" t="s">
        <v>129</v>
      </c>
      <c r="C40" s="9" t="s">
        <v>24</v>
      </c>
      <c r="D40" s="9" t="s">
        <v>50</v>
      </c>
      <c r="E40" s="10" t="n">
        <v>5</v>
      </c>
      <c r="F40" s="9" t="n">
        <v>1</v>
      </c>
      <c r="G40" s="11" t="n">
        <v>980</v>
      </c>
      <c r="H40" s="12" t="n">
        <f aca="false">IF(G40="","",ROUND(G40*(1-Supuestos!$B$3),0))</f>
        <v>686</v>
      </c>
      <c r="I40" s="9"/>
      <c r="J40" s="9"/>
      <c r="K40" s="9"/>
      <c r="L40" s="9"/>
      <c r="M40" s="13" t="s">
        <v>130</v>
      </c>
    </row>
    <row r="41" customFormat="false" ht="15" hidden="false" customHeight="true" outlineLevel="0" collapsed="false">
      <c r="A41" s="9" t="s">
        <v>131</v>
      </c>
      <c r="B41" s="9" t="s">
        <v>132</v>
      </c>
      <c r="C41" s="9" t="s">
        <v>24</v>
      </c>
      <c r="D41" s="9" t="s">
        <v>25</v>
      </c>
      <c r="E41" s="10" t="n">
        <v>5</v>
      </c>
      <c r="F41" s="9" t="n">
        <v>9</v>
      </c>
      <c r="G41" s="11" t="n">
        <v>700</v>
      </c>
      <c r="H41" s="12" t="n">
        <f aca="false">IF(G41="","",ROUND(G41*(1-Supuestos!$B$3),0))</f>
        <v>490</v>
      </c>
      <c r="I41" s="9"/>
      <c r="J41" s="9" t="s">
        <v>133</v>
      </c>
      <c r="K41" s="9"/>
      <c r="L41" s="9"/>
      <c r="M41" s="13" t="s">
        <v>134</v>
      </c>
    </row>
    <row r="42" customFormat="false" ht="15" hidden="false" customHeight="true" outlineLevel="0" collapsed="false">
      <c r="A42" s="9" t="s">
        <v>135</v>
      </c>
      <c r="B42" s="9" t="s">
        <v>136</v>
      </c>
      <c r="C42" s="9" t="s">
        <v>24</v>
      </c>
      <c r="D42" s="9" t="s">
        <v>38</v>
      </c>
      <c r="E42" s="10" t="n">
        <v>5</v>
      </c>
      <c r="F42" s="9" t="n">
        <v>2</v>
      </c>
      <c r="G42" s="11" t="n">
        <v>925</v>
      </c>
      <c r="H42" s="12" t="n">
        <f aca="false">IF(G42="","",ROUND(G42*(1-Supuestos!$B$3),0))</f>
        <v>648</v>
      </c>
      <c r="I42" s="9"/>
      <c r="J42" s="9"/>
      <c r="K42" s="9"/>
      <c r="L42" s="9"/>
      <c r="M42" s="13" t="s">
        <v>137</v>
      </c>
    </row>
    <row r="43" customFormat="false" ht="15" hidden="false" customHeight="true" outlineLevel="0" collapsed="false">
      <c r="A43" s="9" t="s">
        <v>138</v>
      </c>
      <c r="B43" s="9" t="s">
        <v>139</v>
      </c>
      <c r="C43" s="9" t="s">
        <v>24</v>
      </c>
      <c r="D43" s="9" t="s">
        <v>38</v>
      </c>
      <c r="E43" s="10" t="n">
        <v>5</v>
      </c>
      <c r="F43" s="9" t="n">
        <v>17</v>
      </c>
      <c r="G43" s="11" t="n">
        <v>1036</v>
      </c>
      <c r="H43" s="12" t="n">
        <f aca="false">IF(G43="","",ROUND(G43*(1-Supuestos!$B$3),0))</f>
        <v>725</v>
      </c>
      <c r="I43" s="9" t="s">
        <v>140</v>
      </c>
      <c r="J43" s="9" t="s">
        <v>141</v>
      </c>
      <c r="K43" s="9"/>
      <c r="L43" s="9"/>
      <c r="M43" s="13" t="s">
        <v>142</v>
      </c>
    </row>
    <row r="44" customFormat="false" ht="15" hidden="false" customHeight="true" outlineLevel="0" collapsed="false">
      <c r="A44" s="9" t="s">
        <v>143</v>
      </c>
      <c r="B44" s="9" t="s">
        <v>144</v>
      </c>
      <c r="C44" s="9" t="s">
        <v>24</v>
      </c>
      <c r="D44" s="9" t="s">
        <v>25</v>
      </c>
      <c r="E44" s="10" t="n">
        <v>4.8</v>
      </c>
      <c r="F44" s="9" t="n">
        <v>16</v>
      </c>
      <c r="G44" s="11" t="n">
        <v>1100</v>
      </c>
      <c r="H44" s="12" t="n">
        <f aca="false">IF(G44="","",ROUND(G44*(1-Supuestos!$B$3),0))</f>
        <v>770</v>
      </c>
      <c r="I44" s="9"/>
      <c r="J44" s="9" t="s">
        <v>145</v>
      </c>
      <c r="K44" s="9"/>
      <c r="L44" s="9"/>
      <c r="M44" s="13" t="s">
        <v>146</v>
      </c>
    </row>
    <row r="45" customFormat="false" ht="15" hidden="false" customHeight="true" outlineLevel="0" collapsed="false">
      <c r="A45" s="9" t="s">
        <v>147</v>
      </c>
      <c r="B45" s="9" t="s">
        <v>148</v>
      </c>
      <c r="C45" s="9" t="s">
        <v>46</v>
      </c>
      <c r="D45" s="9" t="s">
        <v>38</v>
      </c>
      <c r="E45" s="10"/>
      <c r="F45" s="9" t="n">
        <v>0</v>
      </c>
      <c r="G45" s="11" t="n">
        <v>1202</v>
      </c>
      <c r="H45" s="12" t="n">
        <f aca="false">IF(G45="","",ROUND(G45*(1-Supuestos!$B$3),0))</f>
        <v>841</v>
      </c>
      <c r="I45" s="9" t="s">
        <v>149</v>
      </c>
      <c r="J45" s="9" t="s">
        <v>150</v>
      </c>
      <c r="K45" s="9"/>
      <c r="L45" s="9" t="s">
        <v>151</v>
      </c>
      <c r="M45" s="13" t="s">
        <v>152</v>
      </c>
    </row>
    <row r="46" customFormat="false" ht="15" hidden="false" customHeight="true" outlineLevel="0" collapsed="false">
      <c r="A46" s="9" t="s">
        <v>147</v>
      </c>
      <c r="B46" s="9" t="s">
        <v>153</v>
      </c>
      <c r="C46" s="9" t="s">
        <v>42</v>
      </c>
      <c r="D46" s="9" t="s">
        <v>50</v>
      </c>
      <c r="E46" s="10" t="n">
        <v>5</v>
      </c>
      <c r="F46" s="9" t="n">
        <v>2</v>
      </c>
      <c r="G46" s="11" t="n">
        <v>1663.51</v>
      </c>
      <c r="H46" s="12" t="n">
        <f aca="false">IF(G46="","",ROUND(G46*(1-Supuestos!$B$3),0))</f>
        <v>1164</v>
      </c>
      <c r="I46" s="9" t="s">
        <v>149</v>
      </c>
      <c r="J46" s="9" t="s">
        <v>150</v>
      </c>
      <c r="K46" s="9"/>
      <c r="L46" s="9" t="s">
        <v>151</v>
      </c>
      <c r="M46" s="13" t="s">
        <v>154</v>
      </c>
    </row>
    <row r="47" customFormat="false" ht="15" hidden="false" customHeight="true" outlineLevel="0" collapsed="false">
      <c r="A47" s="9" t="s">
        <v>147</v>
      </c>
      <c r="B47" s="9" t="s">
        <v>153</v>
      </c>
      <c r="C47" s="9" t="s">
        <v>42</v>
      </c>
      <c r="D47" s="9" t="s">
        <v>38</v>
      </c>
      <c r="E47" s="10" t="n">
        <v>4.95</v>
      </c>
      <c r="F47" s="9" t="n">
        <v>1633</v>
      </c>
      <c r="G47" s="11" t="n">
        <v>1572</v>
      </c>
      <c r="H47" s="12" t="n">
        <f aca="false">IF(G47="","",ROUND(G47*(1-Supuestos!$B$3),0))</f>
        <v>1100</v>
      </c>
      <c r="I47" s="9" t="s">
        <v>149</v>
      </c>
      <c r="J47" s="9" t="s">
        <v>150</v>
      </c>
      <c r="K47" s="9"/>
      <c r="L47" s="9" t="s">
        <v>151</v>
      </c>
      <c r="M47" s="13" t="s">
        <v>155</v>
      </c>
    </row>
    <row r="48" customFormat="false" ht="15" hidden="false" customHeight="true" outlineLevel="0" collapsed="false">
      <c r="A48" s="9" t="s">
        <v>147</v>
      </c>
      <c r="B48" s="9" t="s">
        <v>156</v>
      </c>
      <c r="C48" s="9" t="s">
        <v>46</v>
      </c>
      <c r="D48" s="9" t="s">
        <v>38</v>
      </c>
      <c r="E48" s="10"/>
      <c r="F48" s="9" t="n">
        <v>0</v>
      </c>
      <c r="G48" s="11" t="n">
        <v>1942</v>
      </c>
      <c r="H48" s="12" t="n">
        <f aca="false">IF(G48="","",ROUND(G48*(1-Supuestos!$B$3),0))</f>
        <v>1359</v>
      </c>
      <c r="I48" s="9" t="s">
        <v>149</v>
      </c>
      <c r="J48" s="9" t="s">
        <v>150</v>
      </c>
      <c r="K48" s="9"/>
      <c r="L48" s="9" t="s">
        <v>151</v>
      </c>
      <c r="M48" s="13" t="s">
        <v>157</v>
      </c>
    </row>
    <row r="49" customFormat="false" ht="15" hidden="false" customHeight="true" outlineLevel="0" collapsed="false">
      <c r="A49" s="9" t="s">
        <v>147</v>
      </c>
      <c r="B49" s="9" t="s">
        <v>158</v>
      </c>
      <c r="C49" s="9" t="s">
        <v>42</v>
      </c>
      <c r="D49" s="9" t="s">
        <v>25</v>
      </c>
      <c r="E49" s="10" t="n">
        <v>5</v>
      </c>
      <c r="F49" s="9" t="n">
        <v>334</v>
      </c>
      <c r="G49" s="11" t="n">
        <v>1750</v>
      </c>
      <c r="H49" s="12" t="n">
        <f aca="false">IF(G49="","",ROUND(G49*(1-Supuestos!$B$3),0))</f>
        <v>1225</v>
      </c>
      <c r="I49" s="9" t="s">
        <v>149</v>
      </c>
      <c r="J49" s="9" t="s">
        <v>150</v>
      </c>
      <c r="K49" s="9"/>
      <c r="L49" s="9" t="s">
        <v>151</v>
      </c>
      <c r="M49" s="13" t="s">
        <v>159</v>
      </c>
    </row>
    <row r="50" customFormat="false" ht="15" hidden="false" customHeight="true" outlineLevel="0" collapsed="false">
      <c r="A50" s="9" t="s">
        <v>147</v>
      </c>
      <c r="B50" s="9" t="s">
        <v>160</v>
      </c>
      <c r="C50" s="9" t="s">
        <v>24</v>
      </c>
      <c r="D50" s="9" t="s">
        <v>25</v>
      </c>
      <c r="E50" s="10" t="n">
        <v>5</v>
      </c>
      <c r="F50" s="9" t="n">
        <v>10</v>
      </c>
      <c r="G50" s="11" t="n">
        <v>1435</v>
      </c>
      <c r="H50" s="12" t="n">
        <f aca="false">IF(G50="","",ROUND(G50*(1-Supuestos!$B$3),0))</f>
        <v>1004</v>
      </c>
      <c r="I50" s="9" t="s">
        <v>149</v>
      </c>
      <c r="J50" s="9" t="s">
        <v>150</v>
      </c>
      <c r="K50" s="9"/>
      <c r="L50" s="9" t="s">
        <v>151</v>
      </c>
      <c r="M50" s="13" t="s">
        <v>161</v>
      </c>
    </row>
    <row r="51" customFormat="false" ht="15" hidden="false" customHeight="true" outlineLevel="0" collapsed="false">
      <c r="A51" s="9" t="s">
        <v>147</v>
      </c>
      <c r="B51" s="9" t="s">
        <v>160</v>
      </c>
      <c r="C51" s="9" t="s">
        <v>24</v>
      </c>
      <c r="D51" s="9" t="s">
        <v>38</v>
      </c>
      <c r="E51" s="10" t="n">
        <v>5</v>
      </c>
      <c r="F51" s="9" t="n">
        <v>32</v>
      </c>
      <c r="G51" s="11" t="n">
        <v>1258</v>
      </c>
      <c r="H51" s="12" t="n">
        <f aca="false">IF(G51="","",ROUND(G51*(1-Supuestos!$B$3),0))</f>
        <v>881</v>
      </c>
      <c r="I51" s="9" t="s">
        <v>149</v>
      </c>
      <c r="J51" s="9" t="s">
        <v>150</v>
      </c>
      <c r="K51" s="9"/>
      <c r="L51" s="9" t="s">
        <v>151</v>
      </c>
      <c r="M51" s="13" t="s">
        <v>162</v>
      </c>
    </row>
    <row r="52" customFormat="false" ht="15" hidden="false" customHeight="true" outlineLevel="0" collapsed="false">
      <c r="A52" s="9" t="s">
        <v>163</v>
      </c>
      <c r="B52" s="9" t="s">
        <v>164</v>
      </c>
      <c r="C52" s="9" t="s">
        <v>24</v>
      </c>
      <c r="D52" s="9" t="s">
        <v>25</v>
      </c>
      <c r="E52" s="10" t="n">
        <v>4.9</v>
      </c>
      <c r="F52" s="9" t="n">
        <v>105</v>
      </c>
      <c r="G52" s="11" t="n">
        <v>2013</v>
      </c>
      <c r="H52" s="12" t="n">
        <f aca="false">IF(G52="","",ROUND(G52*(1-Supuestos!$B$3),0))</f>
        <v>1409</v>
      </c>
      <c r="I52" s="9" t="s">
        <v>165</v>
      </c>
      <c r="J52" s="9" t="s">
        <v>166</v>
      </c>
      <c r="K52" s="9" t="s">
        <v>167</v>
      </c>
      <c r="L52" s="9"/>
      <c r="M52" s="13" t="s">
        <v>168</v>
      </c>
    </row>
    <row r="53" customFormat="false" ht="15" hidden="false" customHeight="true" outlineLevel="0" collapsed="false">
      <c r="A53" s="9" t="s">
        <v>163</v>
      </c>
      <c r="B53" s="9" t="s">
        <v>169</v>
      </c>
      <c r="C53" s="9" t="s">
        <v>24</v>
      </c>
      <c r="D53" s="9" t="s">
        <v>25</v>
      </c>
      <c r="E53" s="10" t="n">
        <v>5</v>
      </c>
      <c r="F53" s="9" t="n">
        <v>14</v>
      </c>
      <c r="G53" s="11" t="n">
        <v>2188</v>
      </c>
      <c r="H53" s="12" t="n">
        <f aca="false">IF(G53="","",ROUND(G53*(1-Supuestos!$B$3),0))</f>
        <v>1532</v>
      </c>
      <c r="I53" s="9" t="s">
        <v>165</v>
      </c>
      <c r="J53" s="9" t="s">
        <v>166</v>
      </c>
      <c r="K53" s="9" t="s">
        <v>167</v>
      </c>
      <c r="L53" s="9"/>
      <c r="M53" s="13" t="s">
        <v>170</v>
      </c>
    </row>
    <row r="54" customFormat="false" ht="15" hidden="false" customHeight="true" outlineLevel="0" collapsed="false">
      <c r="A54" s="9" t="s">
        <v>163</v>
      </c>
      <c r="B54" s="9" t="s">
        <v>171</v>
      </c>
      <c r="C54" s="9" t="s">
        <v>24</v>
      </c>
      <c r="D54" s="9" t="s">
        <v>25</v>
      </c>
      <c r="E54" s="10" t="n">
        <v>4.7</v>
      </c>
      <c r="F54" s="9" t="n">
        <v>24</v>
      </c>
      <c r="G54" s="11" t="n">
        <v>2450</v>
      </c>
      <c r="H54" s="12" t="n">
        <f aca="false">IF(G54="","",ROUND(G54*(1-Supuestos!$B$3),0))</f>
        <v>1715</v>
      </c>
      <c r="I54" s="9" t="s">
        <v>165</v>
      </c>
      <c r="J54" s="9" t="s">
        <v>166</v>
      </c>
      <c r="K54" s="9" t="s">
        <v>167</v>
      </c>
      <c r="L54" s="9"/>
      <c r="M54" s="13" t="s">
        <v>172</v>
      </c>
    </row>
    <row r="55" customFormat="false" ht="15" hidden="false" customHeight="true" outlineLevel="0" collapsed="false">
      <c r="A55" s="9" t="s">
        <v>173</v>
      </c>
      <c r="B55" s="9" t="s">
        <v>174</v>
      </c>
      <c r="C55" s="9" t="s">
        <v>24</v>
      </c>
      <c r="D55" s="9" t="s">
        <v>38</v>
      </c>
      <c r="E55" s="10" t="n">
        <v>4.97</v>
      </c>
      <c r="F55" s="9" t="n">
        <v>1365</v>
      </c>
      <c r="G55" s="11" t="n">
        <v>740</v>
      </c>
      <c r="H55" s="12" t="n">
        <f aca="false">IF(G55="","",ROUND(G55*(1-Supuestos!$B$3),0))</f>
        <v>518</v>
      </c>
      <c r="I55" s="9"/>
      <c r="J55" s="9" t="s">
        <v>175</v>
      </c>
      <c r="K55" s="9"/>
      <c r="L55" s="9"/>
      <c r="M55" s="13" t="s">
        <v>176</v>
      </c>
    </row>
    <row r="56" customFormat="false" ht="15" hidden="false" customHeight="true" outlineLevel="0" collapsed="false">
      <c r="A56" s="9" t="s">
        <v>177</v>
      </c>
      <c r="B56" s="9" t="s">
        <v>178</v>
      </c>
      <c r="C56" s="9" t="s">
        <v>24</v>
      </c>
      <c r="D56" s="9" t="s">
        <v>25</v>
      </c>
      <c r="E56" s="10" t="n">
        <v>5</v>
      </c>
      <c r="F56" s="9" t="n">
        <v>4</v>
      </c>
      <c r="G56" s="11" t="n">
        <v>700</v>
      </c>
      <c r="H56" s="12" t="n">
        <f aca="false">IF(G56="","",ROUND(G56*(1-Supuestos!$B$3),0))</f>
        <v>490</v>
      </c>
      <c r="I56" s="9"/>
      <c r="J56" s="9"/>
      <c r="K56" s="9"/>
      <c r="L56" s="9"/>
      <c r="M56" s="13" t="s">
        <v>179</v>
      </c>
    </row>
    <row r="57" customFormat="false" ht="15" hidden="false" customHeight="true" outlineLevel="0" collapsed="false">
      <c r="A57" s="9" t="s">
        <v>180</v>
      </c>
      <c r="B57" s="9" t="s">
        <v>181</v>
      </c>
      <c r="C57" s="9" t="s">
        <v>24</v>
      </c>
      <c r="D57" s="9" t="s">
        <v>50</v>
      </c>
      <c r="E57" s="10" t="n">
        <v>5</v>
      </c>
      <c r="F57" s="9" t="n">
        <v>3</v>
      </c>
      <c r="G57" s="11" t="n">
        <v>6250</v>
      </c>
      <c r="H57" s="12" t="n">
        <f aca="false">IF(G57="","",ROUND(G57*(1-Supuestos!$B$3),0))</f>
        <v>4375</v>
      </c>
      <c r="I57" s="9"/>
      <c r="J57" s="9"/>
      <c r="K57" s="9"/>
      <c r="L57" s="9"/>
      <c r="M57" s="13" t="s">
        <v>182</v>
      </c>
    </row>
    <row r="58" customFormat="false" ht="15" hidden="false" customHeight="true" outlineLevel="0" collapsed="false">
      <c r="A58" s="9" t="s">
        <v>183</v>
      </c>
      <c r="B58" s="9" t="s">
        <v>184</v>
      </c>
      <c r="C58" s="9" t="s">
        <v>24</v>
      </c>
      <c r="D58" s="9" t="s">
        <v>25</v>
      </c>
      <c r="E58" s="10" t="n">
        <v>5</v>
      </c>
      <c r="F58" s="9" t="n">
        <v>4</v>
      </c>
      <c r="G58" s="11" t="n">
        <v>2100</v>
      </c>
      <c r="H58" s="12" t="n">
        <f aca="false">IF(G58="","",ROUND(G58*(1-Supuestos!$B$3),0))</f>
        <v>1470</v>
      </c>
      <c r="I58" s="9"/>
      <c r="J58" s="9"/>
      <c r="K58" s="9"/>
      <c r="L58" s="9"/>
      <c r="M58" s="13" t="s">
        <v>185</v>
      </c>
    </row>
    <row r="59" customFormat="false" ht="15" hidden="false" customHeight="true" outlineLevel="0" collapsed="false">
      <c r="A59" s="9" t="s">
        <v>186</v>
      </c>
      <c r="B59" s="9" t="s">
        <v>187</v>
      </c>
      <c r="C59" s="9" t="s">
        <v>24</v>
      </c>
      <c r="D59" s="9" t="s">
        <v>25</v>
      </c>
      <c r="E59" s="10"/>
      <c r="F59" s="9" t="n">
        <v>0</v>
      </c>
      <c r="G59" s="11" t="n">
        <v>2328</v>
      </c>
      <c r="H59" s="12" t="n">
        <f aca="false">IF(G59="","",ROUND(G59*(1-Supuestos!$B$3),0))</f>
        <v>1630</v>
      </c>
      <c r="I59" s="9"/>
      <c r="J59" s="9"/>
      <c r="K59" s="9"/>
      <c r="L59" s="9"/>
      <c r="M59" s="13" t="s">
        <v>188</v>
      </c>
    </row>
    <row r="60" customFormat="false" ht="15" hidden="false" customHeight="true" outlineLevel="0" collapsed="false">
      <c r="A60" s="9" t="s">
        <v>189</v>
      </c>
      <c r="B60" s="9" t="s">
        <v>190</v>
      </c>
      <c r="C60" s="9" t="s">
        <v>42</v>
      </c>
      <c r="D60" s="9" t="s">
        <v>50</v>
      </c>
      <c r="E60" s="10" t="n">
        <v>5</v>
      </c>
      <c r="F60" s="9" t="n">
        <v>2</v>
      </c>
      <c r="G60" s="11" t="n">
        <v>1750</v>
      </c>
      <c r="H60" s="12" t="n">
        <f aca="false">IF(G60="","",ROUND(G60*(1-Supuestos!$B$3),0))</f>
        <v>1225</v>
      </c>
      <c r="I60" s="9"/>
      <c r="J60" s="9"/>
      <c r="K60" s="9"/>
      <c r="L60" s="9"/>
      <c r="M60" s="13" t="s">
        <v>191</v>
      </c>
    </row>
    <row r="61" customFormat="false" ht="15" hidden="false" customHeight="true" outlineLevel="0" collapsed="false">
      <c r="A61" s="9" t="s">
        <v>189</v>
      </c>
      <c r="B61" s="9" t="s">
        <v>190</v>
      </c>
      <c r="C61" s="9" t="s">
        <v>42</v>
      </c>
      <c r="D61" s="9" t="s">
        <v>25</v>
      </c>
      <c r="E61" s="10"/>
      <c r="F61" s="9" t="n">
        <v>0</v>
      </c>
      <c r="G61" s="11" t="n">
        <v>1400</v>
      </c>
      <c r="H61" s="12" t="n">
        <f aca="false">IF(G61="","",ROUND(G61*(1-Supuestos!$B$3),0))</f>
        <v>980</v>
      </c>
      <c r="I61" s="9"/>
      <c r="J61" s="9"/>
      <c r="K61" s="9"/>
      <c r="L61" s="9"/>
      <c r="M61" s="13" t="s">
        <v>192</v>
      </c>
    </row>
    <row r="62" customFormat="false" ht="15" hidden="false" customHeight="true" outlineLevel="0" collapsed="false">
      <c r="A62" s="9" t="s">
        <v>193</v>
      </c>
      <c r="B62" s="9" t="s">
        <v>194</v>
      </c>
      <c r="C62" s="9" t="s">
        <v>24</v>
      </c>
      <c r="D62" s="9" t="s">
        <v>25</v>
      </c>
      <c r="E62" s="10"/>
      <c r="F62" s="9" t="n">
        <v>0</v>
      </c>
      <c r="G62" s="11" t="n">
        <v>350</v>
      </c>
      <c r="H62" s="12" t="n">
        <f aca="false">IF(G62="","",ROUND(G62*(1-Supuestos!$B$3),0))</f>
        <v>245</v>
      </c>
      <c r="I62" s="9"/>
      <c r="J62" s="9"/>
      <c r="K62" s="9"/>
      <c r="L62" s="9"/>
      <c r="M62" s="13" t="s">
        <v>195</v>
      </c>
    </row>
    <row r="63" customFormat="false" ht="15" hidden="false" customHeight="true" outlineLevel="0" collapsed="false">
      <c r="A63" s="9" t="s">
        <v>196</v>
      </c>
      <c r="B63" s="9" t="s">
        <v>197</v>
      </c>
      <c r="C63" s="9" t="s">
        <v>24</v>
      </c>
      <c r="D63" s="9" t="s">
        <v>50</v>
      </c>
      <c r="E63" s="10" t="n">
        <v>4.86</v>
      </c>
      <c r="F63" s="9" t="n">
        <v>35</v>
      </c>
      <c r="G63" s="11" t="n">
        <v>414.4</v>
      </c>
      <c r="H63" s="12" t="n">
        <f aca="false">IF(G63="","",ROUND(G63*(1-Supuestos!$B$3),0))</f>
        <v>290</v>
      </c>
      <c r="I63" s="9"/>
      <c r="J63" s="9" t="s">
        <v>198</v>
      </c>
      <c r="K63" s="9"/>
      <c r="L63" s="9"/>
      <c r="M63" s="13" t="s">
        <v>199</v>
      </c>
    </row>
    <row r="64" customFormat="false" ht="15" hidden="false" customHeight="true" outlineLevel="0" collapsed="false">
      <c r="A64" s="9" t="s">
        <v>200</v>
      </c>
      <c r="B64" s="9" t="s">
        <v>201</v>
      </c>
      <c r="C64" s="9" t="s">
        <v>24</v>
      </c>
      <c r="D64" s="9" t="s">
        <v>25</v>
      </c>
      <c r="E64" s="10" t="n">
        <v>5</v>
      </c>
      <c r="F64" s="9" t="n">
        <v>9</v>
      </c>
      <c r="G64" s="11" t="n">
        <v>1050</v>
      </c>
      <c r="H64" s="12" t="n">
        <f aca="false">IF(G64="","",ROUND(G64*(1-Supuestos!$B$3),0))</f>
        <v>735</v>
      </c>
      <c r="I64" s="9"/>
      <c r="J64" s="9"/>
      <c r="K64" s="9"/>
      <c r="L64" s="9"/>
      <c r="M64" s="13" t="s">
        <v>202</v>
      </c>
    </row>
    <row r="65" customFormat="false" ht="15" hidden="false" customHeight="true" outlineLevel="0" collapsed="false">
      <c r="A65" s="9" t="s">
        <v>200</v>
      </c>
      <c r="B65" s="9" t="s">
        <v>201</v>
      </c>
      <c r="C65" s="9" t="s">
        <v>24</v>
      </c>
      <c r="D65" s="9" t="s">
        <v>50</v>
      </c>
      <c r="E65" s="10" t="n">
        <v>5</v>
      </c>
      <c r="F65" s="9" t="n">
        <v>1</v>
      </c>
      <c r="G65" s="11" t="n">
        <v>1028.98</v>
      </c>
      <c r="H65" s="12" t="n">
        <f aca="false">IF(G65="","",ROUND(G65*(1-Supuestos!$B$3),0))</f>
        <v>720</v>
      </c>
      <c r="I65" s="9"/>
      <c r="J65" s="9"/>
      <c r="K65" s="9"/>
      <c r="L65" s="9"/>
      <c r="M65" s="13" t="s">
        <v>203</v>
      </c>
    </row>
    <row r="66" customFormat="false" ht="15" hidden="false" customHeight="true" outlineLevel="0" collapsed="false">
      <c r="A66" s="9" t="s">
        <v>204</v>
      </c>
      <c r="B66" s="9" t="s">
        <v>205</v>
      </c>
      <c r="C66" s="9" t="s">
        <v>42</v>
      </c>
      <c r="D66" s="9" t="s">
        <v>50</v>
      </c>
      <c r="E66" s="10" t="n">
        <v>4.85</v>
      </c>
      <c r="F66" s="9" t="n">
        <v>34</v>
      </c>
      <c r="G66" s="11" t="n">
        <v>850</v>
      </c>
      <c r="H66" s="12" t="n">
        <f aca="false">IF(G66="","",ROUND(G66*(1-Supuestos!$B$3),0))</f>
        <v>595</v>
      </c>
      <c r="I66" s="9"/>
      <c r="J66" s="9"/>
      <c r="K66" s="9"/>
      <c r="L66" s="9"/>
      <c r="M66" s="13" t="s">
        <v>206</v>
      </c>
    </row>
    <row r="67" customFormat="false" ht="15" hidden="false" customHeight="true" outlineLevel="0" collapsed="false">
      <c r="A67" s="9" t="s">
        <v>207</v>
      </c>
      <c r="B67" s="9" t="s">
        <v>208</v>
      </c>
      <c r="C67" s="9" t="s">
        <v>42</v>
      </c>
      <c r="D67" s="9" t="s">
        <v>50</v>
      </c>
      <c r="E67" s="10" t="n">
        <v>5</v>
      </c>
      <c r="F67" s="9" t="n">
        <v>16</v>
      </c>
      <c r="G67" s="11" t="n">
        <v>1400</v>
      </c>
      <c r="H67" s="12" t="n">
        <f aca="false">IF(G67="","",ROUND(G67*(1-Supuestos!$B$3),0))</f>
        <v>980</v>
      </c>
      <c r="I67" s="9" t="s">
        <v>209</v>
      </c>
      <c r="J67" s="9" t="s">
        <v>210</v>
      </c>
      <c r="K67" s="9"/>
      <c r="L67" s="9"/>
      <c r="M67" s="13" t="s">
        <v>211</v>
      </c>
    </row>
    <row r="68" customFormat="false" ht="15" hidden="false" customHeight="true" outlineLevel="0" collapsed="false">
      <c r="A68" s="9" t="s">
        <v>207</v>
      </c>
      <c r="B68" s="9" t="s">
        <v>208</v>
      </c>
      <c r="C68" s="9" t="s">
        <v>42</v>
      </c>
      <c r="D68" s="9" t="s">
        <v>25</v>
      </c>
      <c r="E68" s="10" t="n">
        <v>5</v>
      </c>
      <c r="F68" s="9" t="n">
        <v>3</v>
      </c>
      <c r="G68" s="11" t="n">
        <v>1250</v>
      </c>
      <c r="H68" s="12" t="n">
        <f aca="false">IF(G68="","",ROUND(G68*(1-Supuestos!$B$3),0))</f>
        <v>875</v>
      </c>
      <c r="I68" s="9" t="s">
        <v>209</v>
      </c>
      <c r="J68" s="9" t="s">
        <v>210</v>
      </c>
      <c r="K68" s="9"/>
      <c r="L68" s="9"/>
      <c r="M68" s="13" t="s">
        <v>212</v>
      </c>
    </row>
    <row r="69" customFormat="false" ht="15" hidden="false" customHeight="true" outlineLevel="0" collapsed="false">
      <c r="A69" s="9" t="s">
        <v>213</v>
      </c>
      <c r="B69" s="9" t="s">
        <v>214</v>
      </c>
      <c r="C69" s="9" t="s">
        <v>24</v>
      </c>
      <c r="D69" s="9" t="s">
        <v>50</v>
      </c>
      <c r="E69" s="10" t="n">
        <v>5</v>
      </c>
      <c r="F69" s="9" t="n">
        <v>8</v>
      </c>
      <c r="G69" s="11" t="n">
        <v>1250</v>
      </c>
      <c r="H69" s="12" t="n">
        <f aca="false">IF(G69="","",ROUND(G69*(1-Supuestos!$B$3),0))</f>
        <v>875</v>
      </c>
      <c r="I69" s="9"/>
      <c r="J69" s="9" t="s">
        <v>215</v>
      </c>
      <c r="K69" s="9"/>
      <c r="L69" s="9"/>
      <c r="M69" s="13" t="s">
        <v>216</v>
      </c>
    </row>
    <row r="70" customFormat="false" ht="15" hidden="false" customHeight="true" outlineLevel="0" collapsed="false">
      <c r="A70" s="9" t="s">
        <v>217</v>
      </c>
      <c r="B70" s="9" t="s">
        <v>218</v>
      </c>
      <c r="C70" s="9" t="s">
        <v>24</v>
      </c>
      <c r="D70" s="9" t="s">
        <v>25</v>
      </c>
      <c r="E70" s="10" t="n">
        <v>5</v>
      </c>
      <c r="F70" s="9" t="n">
        <v>14</v>
      </c>
      <c r="G70" s="11" t="n">
        <v>660</v>
      </c>
      <c r="H70" s="12" t="n">
        <f aca="false">IF(G70="","",ROUND(G70*(1-Supuestos!$B$3),0))</f>
        <v>462</v>
      </c>
      <c r="I70" s="9"/>
      <c r="J70" s="9"/>
      <c r="K70" s="9"/>
      <c r="L70" s="9"/>
      <c r="M70" s="13" t="s">
        <v>219</v>
      </c>
    </row>
    <row r="71" customFormat="false" ht="15" hidden="false" customHeight="true" outlineLevel="0" collapsed="false">
      <c r="A71" s="9" t="s">
        <v>217</v>
      </c>
      <c r="B71" s="9" t="s">
        <v>220</v>
      </c>
      <c r="C71" s="9" t="s">
        <v>24</v>
      </c>
      <c r="D71" s="9" t="s">
        <v>25</v>
      </c>
      <c r="E71" s="10" t="n">
        <v>4.9</v>
      </c>
      <c r="F71" s="9" t="n">
        <v>16</v>
      </c>
      <c r="G71" s="11" t="n">
        <v>1080</v>
      </c>
      <c r="H71" s="12" t="n">
        <f aca="false">IF(G71="","",ROUND(G71*(1-Supuestos!$B$3),0))</f>
        <v>756</v>
      </c>
      <c r="I71" s="9"/>
      <c r="J71" s="9"/>
      <c r="K71" s="9"/>
      <c r="L71" s="9"/>
      <c r="M71" s="13" t="s">
        <v>221</v>
      </c>
    </row>
    <row r="72" customFormat="false" ht="15" hidden="false" customHeight="true" outlineLevel="0" collapsed="false">
      <c r="A72" s="9" t="s">
        <v>222</v>
      </c>
      <c r="B72" s="9" t="s">
        <v>223</v>
      </c>
      <c r="C72" s="9" t="s">
        <v>24</v>
      </c>
      <c r="D72" s="9" t="s">
        <v>25</v>
      </c>
      <c r="E72" s="10"/>
      <c r="F72" s="9" t="n">
        <v>0</v>
      </c>
      <c r="G72" s="11" t="n">
        <v>450</v>
      </c>
      <c r="H72" s="12" t="n">
        <f aca="false">IF(G72="","",ROUND(G72*(1-Supuestos!$B$3),0))</f>
        <v>315</v>
      </c>
      <c r="I72" s="9"/>
      <c r="J72" s="9"/>
      <c r="K72" s="9"/>
      <c r="L72" s="9"/>
      <c r="M72" s="13" t="s">
        <v>224</v>
      </c>
    </row>
    <row r="73" customFormat="false" ht="15" hidden="false" customHeight="true" outlineLevel="0" collapsed="false">
      <c r="A73" s="9" t="s">
        <v>222</v>
      </c>
      <c r="B73" s="9" t="s">
        <v>223</v>
      </c>
      <c r="C73" s="9" t="s">
        <v>24</v>
      </c>
      <c r="D73" s="9" t="s">
        <v>50</v>
      </c>
      <c r="E73" s="10" t="n">
        <v>5</v>
      </c>
      <c r="F73" s="9" t="n">
        <v>3</v>
      </c>
      <c r="G73" s="11" t="n">
        <v>450</v>
      </c>
      <c r="H73" s="12" t="n">
        <f aca="false">IF(G73="","",ROUND(G73*(1-Supuestos!$B$3),0))</f>
        <v>315</v>
      </c>
      <c r="I73" s="9"/>
      <c r="J73" s="9"/>
      <c r="K73" s="9"/>
      <c r="L73" s="9"/>
      <c r="M73" s="13" t="s">
        <v>225</v>
      </c>
    </row>
    <row r="74" customFormat="false" ht="15" hidden="false" customHeight="true" outlineLevel="0" collapsed="false">
      <c r="A74" s="9" t="s">
        <v>226</v>
      </c>
      <c r="B74" s="9" t="s">
        <v>227</v>
      </c>
      <c r="C74" s="9" t="s">
        <v>24</v>
      </c>
      <c r="D74" s="9" t="s">
        <v>38</v>
      </c>
      <c r="E74" s="10" t="n">
        <v>5</v>
      </c>
      <c r="F74" s="9" t="n">
        <v>4</v>
      </c>
      <c r="G74" s="11" t="n">
        <v>1202</v>
      </c>
      <c r="H74" s="12" t="n">
        <f aca="false">IF(G74="","",ROUND(G74*(1-Supuestos!$B$3),0))</f>
        <v>841</v>
      </c>
      <c r="I74" s="9" t="s">
        <v>228</v>
      </c>
      <c r="J74" s="9" t="s">
        <v>229</v>
      </c>
      <c r="K74" s="9" t="s">
        <v>230</v>
      </c>
      <c r="L74" s="9"/>
      <c r="M74" s="13" t="s">
        <v>231</v>
      </c>
    </row>
    <row r="75" customFormat="false" ht="15" hidden="false" customHeight="true" outlineLevel="0" collapsed="false">
      <c r="A75" s="9" t="s">
        <v>226</v>
      </c>
      <c r="B75" s="9" t="s">
        <v>232</v>
      </c>
      <c r="C75" s="9" t="s">
        <v>24</v>
      </c>
      <c r="D75" s="9" t="s">
        <v>25</v>
      </c>
      <c r="E75" s="10" t="n">
        <v>4.6</v>
      </c>
      <c r="F75" s="9" t="n">
        <v>10</v>
      </c>
      <c r="G75" s="11" t="n">
        <v>800</v>
      </c>
      <c r="H75" s="12" t="n">
        <f aca="false">IF(G75="","",ROUND(G75*(1-Supuestos!$B$3),0))</f>
        <v>560</v>
      </c>
      <c r="I75" s="9" t="s">
        <v>228</v>
      </c>
      <c r="J75" s="9" t="s">
        <v>229</v>
      </c>
      <c r="K75" s="9" t="s">
        <v>230</v>
      </c>
      <c r="L75" s="9"/>
      <c r="M75" s="13" t="s">
        <v>233</v>
      </c>
    </row>
    <row r="76" customFormat="false" ht="15" hidden="false" customHeight="true" outlineLevel="0" collapsed="false">
      <c r="A76" s="9" t="s">
        <v>226</v>
      </c>
      <c r="B76" s="9" t="s">
        <v>232</v>
      </c>
      <c r="C76" s="9" t="s">
        <v>24</v>
      </c>
      <c r="D76" s="9" t="s">
        <v>38</v>
      </c>
      <c r="E76" s="10" t="n">
        <v>5</v>
      </c>
      <c r="F76" s="9" t="n">
        <v>1</v>
      </c>
      <c r="G76" s="11" t="n">
        <v>870</v>
      </c>
      <c r="H76" s="12" t="n">
        <f aca="false">IF(G76="","",ROUND(G76*(1-Supuestos!$B$3),0))</f>
        <v>609</v>
      </c>
      <c r="I76" s="9" t="s">
        <v>228</v>
      </c>
      <c r="J76" s="9" t="s">
        <v>229</v>
      </c>
      <c r="K76" s="9" t="s">
        <v>230</v>
      </c>
      <c r="L76" s="9"/>
      <c r="M76" s="13" t="s">
        <v>234</v>
      </c>
    </row>
    <row r="77" customFormat="false" ht="15" hidden="false" customHeight="true" outlineLevel="0" collapsed="false">
      <c r="A77" s="9" t="s">
        <v>226</v>
      </c>
      <c r="B77" s="9" t="s">
        <v>235</v>
      </c>
      <c r="C77" s="9" t="s">
        <v>24</v>
      </c>
      <c r="D77" s="9" t="s">
        <v>38</v>
      </c>
      <c r="E77" s="10" t="n">
        <v>5</v>
      </c>
      <c r="F77" s="9" t="n">
        <v>4</v>
      </c>
      <c r="G77" s="11" t="n">
        <v>1202</v>
      </c>
      <c r="H77" s="12" t="n">
        <f aca="false">IF(G77="","",ROUND(G77*(1-Supuestos!$B$3),0))</f>
        <v>841</v>
      </c>
      <c r="I77" s="9" t="s">
        <v>228</v>
      </c>
      <c r="J77" s="9" t="s">
        <v>229</v>
      </c>
      <c r="K77" s="9" t="s">
        <v>230</v>
      </c>
      <c r="L77" s="9"/>
      <c r="M77" s="13" t="s">
        <v>236</v>
      </c>
    </row>
    <row r="78" customFormat="false" ht="15" hidden="false" customHeight="true" outlineLevel="0" collapsed="false">
      <c r="A78" s="9" t="s">
        <v>226</v>
      </c>
      <c r="B78" s="9" t="s">
        <v>235</v>
      </c>
      <c r="C78" s="9" t="s">
        <v>24</v>
      </c>
      <c r="D78" s="9" t="s">
        <v>88</v>
      </c>
      <c r="E78" s="10" t="n">
        <v>4.85</v>
      </c>
      <c r="F78" s="9" t="n">
        <v>12</v>
      </c>
      <c r="G78" s="11" t="n">
        <v>5088</v>
      </c>
      <c r="H78" s="12" t="n">
        <f aca="false">IF(G78="","",ROUND(G78*(1-Supuestos!$B$3),0))</f>
        <v>3562</v>
      </c>
      <c r="I78" s="9" t="s">
        <v>228</v>
      </c>
      <c r="J78" s="9" t="s">
        <v>229</v>
      </c>
      <c r="K78" s="9" t="s">
        <v>230</v>
      </c>
      <c r="L78" s="9"/>
      <c r="M78" s="13" t="s">
        <v>237</v>
      </c>
    </row>
    <row r="79" customFormat="false" ht="15" hidden="false" customHeight="true" outlineLevel="0" collapsed="false">
      <c r="A79" s="9" t="s">
        <v>238</v>
      </c>
      <c r="B79" s="9" t="s">
        <v>239</v>
      </c>
      <c r="C79" s="9" t="s">
        <v>24</v>
      </c>
      <c r="D79" s="9" t="s">
        <v>50</v>
      </c>
      <c r="E79" s="10"/>
      <c r="F79" s="9" t="n">
        <v>0</v>
      </c>
      <c r="G79" s="11" t="n">
        <v>2242</v>
      </c>
      <c r="H79" s="12" t="n">
        <f aca="false">IF(G79="","",ROUND(G79*(1-Supuestos!$B$3),0))</f>
        <v>1569</v>
      </c>
      <c r="I79" s="9" t="s">
        <v>240</v>
      </c>
      <c r="J79" s="9" t="s">
        <v>241</v>
      </c>
      <c r="K79" s="9" t="s">
        <v>242</v>
      </c>
      <c r="L79" s="9" t="s">
        <v>243</v>
      </c>
      <c r="M79" s="13" t="s">
        <v>244</v>
      </c>
    </row>
    <row r="80" customFormat="false" ht="15" hidden="false" customHeight="true" outlineLevel="0" collapsed="false">
      <c r="A80" s="9" t="s">
        <v>245</v>
      </c>
      <c r="B80" s="9" t="s">
        <v>246</v>
      </c>
      <c r="C80" s="9" t="s">
        <v>24</v>
      </c>
      <c r="D80" s="9" t="s">
        <v>25</v>
      </c>
      <c r="E80" s="10" t="n">
        <v>4.9</v>
      </c>
      <c r="F80" s="9" t="n">
        <v>14</v>
      </c>
      <c r="G80" s="11" t="n">
        <v>1181</v>
      </c>
      <c r="H80" s="12" t="n">
        <f aca="false">IF(G80="","",ROUND(G80*(1-Supuestos!$B$3),0))</f>
        <v>827</v>
      </c>
      <c r="I80" s="9" t="s">
        <v>247</v>
      </c>
      <c r="J80" s="9" t="s">
        <v>248</v>
      </c>
      <c r="K80" s="9" t="s">
        <v>249</v>
      </c>
      <c r="L80" s="9" t="s">
        <v>250</v>
      </c>
      <c r="M80" s="13" t="s">
        <v>251</v>
      </c>
    </row>
    <row r="81" customFormat="false" ht="15" hidden="false" customHeight="true" outlineLevel="0" collapsed="false">
      <c r="A81" s="9" t="s">
        <v>252</v>
      </c>
      <c r="B81" s="9" t="s">
        <v>253</v>
      </c>
      <c r="C81" s="9" t="s">
        <v>24</v>
      </c>
      <c r="D81" s="9" t="s">
        <v>25</v>
      </c>
      <c r="E81" s="10" t="n">
        <v>4.8</v>
      </c>
      <c r="F81" s="9" t="n">
        <v>31</v>
      </c>
      <c r="G81" s="11" t="n">
        <v>2433</v>
      </c>
      <c r="H81" s="12" t="n">
        <f aca="false">IF(G81="","",ROUND(G81*(1-Supuestos!$B$3),0))</f>
        <v>1703</v>
      </c>
      <c r="I81" s="9" t="s">
        <v>254</v>
      </c>
      <c r="J81" s="9" t="s">
        <v>255</v>
      </c>
      <c r="K81" s="9" t="s">
        <v>256</v>
      </c>
      <c r="L81" s="9"/>
      <c r="M81" s="13" t="s">
        <v>257</v>
      </c>
    </row>
    <row r="82" customFormat="false" ht="15" hidden="false" customHeight="true" outlineLevel="0" collapsed="false">
      <c r="A82" s="9" t="s">
        <v>252</v>
      </c>
      <c r="B82" s="9" t="s">
        <v>258</v>
      </c>
      <c r="C82" s="9" t="s">
        <v>24</v>
      </c>
      <c r="D82" s="9" t="s">
        <v>25</v>
      </c>
      <c r="E82" s="10" t="n">
        <v>5</v>
      </c>
      <c r="F82" s="9" t="n">
        <v>11</v>
      </c>
      <c r="G82" s="11" t="n">
        <v>3189</v>
      </c>
      <c r="H82" s="12" t="n">
        <f aca="false">IF(G82="","",ROUND(G82*(1-Supuestos!$B$3),0))</f>
        <v>2232</v>
      </c>
      <c r="I82" s="9" t="s">
        <v>254</v>
      </c>
      <c r="J82" s="9" t="s">
        <v>255</v>
      </c>
      <c r="K82" s="9" t="s">
        <v>256</v>
      </c>
      <c r="L82" s="9"/>
      <c r="M82" s="13" t="s">
        <v>259</v>
      </c>
    </row>
    <row r="83" customFormat="false" ht="15" hidden="false" customHeight="true" outlineLevel="0" collapsed="false">
      <c r="A83" s="9" t="s">
        <v>260</v>
      </c>
      <c r="B83" s="9" t="s">
        <v>261</v>
      </c>
      <c r="C83" s="9" t="s">
        <v>42</v>
      </c>
      <c r="D83" s="9" t="s">
        <v>38</v>
      </c>
      <c r="E83" s="10"/>
      <c r="F83" s="9" t="n">
        <v>0</v>
      </c>
      <c r="G83" s="11" t="n">
        <v>1314</v>
      </c>
      <c r="H83" s="12" t="n">
        <f aca="false">IF(G83="","",ROUND(G83*(1-Supuestos!$B$3),0))</f>
        <v>920</v>
      </c>
      <c r="I83" s="9"/>
      <c r="J83" s="9"/>
      <c r="K83" s="9"/>
      <c r="L83" s="9"/>
      <c r="M83" s="13" t="s">
        <v>262</v>
      </c>
    </row>
    <row r="84" customFormat="false" ht="15" hidden="false" customHeight="true" outlineLevel="0" collapsed="false">
      <c r="A84" s="9" t="s">
        <v>260</v>
      </c>
      <c r="B84" s="9" t="s">
        <v>263</v>
      </c>
      <c r="C84" s="9" t="s">
        <v>42</v>
      </c>
      <c r="D84" s="9" t="s">
        <v>25</v>
      </c>
      <c r="E84" s="10" t="n">
        <v>5</v>
      </c>
      <c r="F84" s="9" t="n">
        <v>1</v>
      </c>
      <c r="G84" s="11" t="n">
        <v>950</v>
      </c>
      <c r="H84" s="12" t="n">
        <f aca="false">IF(G84="","",ROUND(G84*(1-Supuestos!$B$3),0))</f>
        <v>665</v>
      </c>
      <c r="I84" s="9"/>
      <c r="J84" s="9"/>
      <c r="K84" s="9"/>
      <c r="L84" s="9"/>
      <c r="M84" s="13" t="s">
        <v>264</v>
      </c>
    </row>
    <row r="85" customFormat="false" ht="15" hidden="false" customHeight="true" outlineLevel="0" collapsed="false">
      <c r="A85" s="9" t="s">
        <v>260</v>
      </c>
      <c r="B85" s="9" t="s">
        <v>263</v>
      </c>
      <c r="C85" s="9" t="s">
        <v>42</v>
      </c>
      <c r="D85" s="9" t="s">
        <v>50</v>
      </c>
      <c r="E85" s="10"/>
      <c r="F85" s="9" t="n">
        <v>0</v>
      </c>
      <c r="G85" s="11" t="n">
        <v>784</v>
      </c>
      <c r="H85" s="12" t="n">
        <f aca="false">IF(G85="","",ROUND(G85*(1-Supuestos!$B$3),0))</f>
        <v>549</v>
      </c>
      <c r="I85" s="9"/>
      <c r="J85" s="9"/>
      <c r="K85" s="9"/>
      <c r="L85" s="9"/>
      <c r="M85" s="13" t="s">
        <v>265</v>
      </c>
    </row>
    <row r="86" customFormat="false" ht="15" hidden="false" customHeight="true" outlineLevel="0" collapsed="false">
      <c r="A86" s="9" t="s">
        <v>260</v>
      </c>
      <c r="B86" s="9" t="s">
        <v>263</v>
      </c>
      <c r="C86" s="9" t="s">
        <v>42</v>
      </c>
      <c r="D86" s="9" t="s">
        <v>38</v>
      </c>
      <c r="E86" s="10"/>
      <c r="F86" s="9" t="n">
        <v>0</v>
      </c>
      <c r="G86" s="11" t="n">
        <v>1073</v>
      </c>
      <c r="H86" s="12" t="n">
        <f aca="false">IF(G86="","",ROUND(G86*(1-Supuestos!$B$3),0))</f>
        <v>751</v>
      </c>
      <c r="I86" s="9"/>
      <c r="J86" s="9"/>
      <c r="K86" s="9"/>
      <c r="L86" s="9"/>
      <c r="M86" s="13" t="s">
        <v>266</v>
      </c>
    </row>
    <row r="87" customFormat="false" ht="15" hidden="false" customHeight="true" outlineLevel="0" collapsed="false">
      <c r="A87" s="9" t="s">
        <v>260</v>
      </c>
      <c r="B87" s="9" t="s">
        <v>267</v>
      </c>
      <c r="C87" s="9" t="s">
        <v>42</v>
      </c>
      <c r="D87" s="9" t="s">
        <v>25</v>
      </c>
      <c r="E87" s="10" t="n">
        <v>5</v>
      </c>
      <c r="F87" s="9" t="n">
        <v>1</v>
      </c>
      <c r="G87" s="11" t="n">
        <v>800</v>
      </c>
      <c r="H87" s="12" t="n">
        <f aca="false">IF(G87="","",ROUND(G87*(1-Supuestos!$B$3),0))</f>
        <v>560</v>
      </c>
      <c r="I87" s="9"/>
      <c r="J87" s="9"/>
      <c r="K87" s="9"/>
      <c r="L87" s="9"/>
      <c r="M87" s="13" t="s">
        <v>268</v>
      </c>
    </row>
    <row r="88" customFormat="false" ht="15" hidden="false" customHeight="true" outlineLevel="0" collapsed="false">
      <c r="A88" s="9" t="s">
        <v>260</v>
      </c>
      <c r="B88" s="9" t="s">
        <v>269</v>
      </c>
      <c r="C88" s="9" t="s">
        <v>42</v>
      </c>
      <c r="D88" s="9" t="s">
        <v>25</v>
      </c>
      <c r="E88" s="10" t="n">
        <v>5</v>
      </c>
      <c r="F88" s="9" t="n">
        <v>4</v>
      </c>
      <c r="G88" s="11" t="n">
        <v>980</v>
      </c>
      <c r="H88" s="12" t="n">
        <f aca="false">IF(G88="","",ROUND(G88*(1-Supuestos!$B$3),0))</f>
        <v>686</v>
      </c>
      <c r="I88" s="9"/>
      <c r="J88" s="9"/>
      <c r="K88" s="9"/>
      <c r="L88" s="9"/>
      <c r="M88" s="13" t="s">
        <v>270</v>
      </c>
    </row>
    <row r="89" customFormat="false" ht="15" hidden="false" customHeight="true" outlineLevel="0" collapsed="false">
      <c r="A89" s="9" t="s">
        <v>260</v>
      </c>
      <c r="B89" s="9" t="s">
        <v>271</v>
      </c>
      <c r="C89" s="9" t="s">
        <v>24</v>
      </c>
      <c r="D89" s="9" t="s">
        <v>25</v>
      </c>
      <c r="E89" s="10"/>
      <c r="F89" s="9" t="n">
        <v>0</v>
      </c>
      <c r="G89" s="11" t="n">
        <v>980</v>
      </c>
      <c r="H89" s="12" t="n">
        <f aca="false">IF(G89="","",ROUND(G89*(1-Supuestos!$B$3),0))</f>
        <v>686</v>
      </c>
      <c r="I89" s="9"/>
      <c r="J89" s="9"/>
      <c r="K89" s="9"/>
      <c r="L89" s="9"/>
      <c r="M89" s="13" t="s">
        <v>272</v>
      </c>
    </row>
    <row r="90" customFormat="false" ht="15" hidden="false" customHeight="true" outlineLevel="0" collapsed="false">
      <c r="A90" s="9" t="s">
        <v>273</v>
      </c>
      <c r="B90" s="9" t="s">
        <v>274</v>
      </c>
      <c r="C90" s="9" t="s">
        <v>24</v>
      </c>
      <c r="D90" s="9" t="s">
        <v>38</v>
      </c>
      <c r="E90" s="10"/>
      <c r="F90" s="9" t="n">
        <v>0</v>
      </c>
      <c r="G90" s="11" t="n">
        <v>2090</v>
      </c>
      <c r="H90" s="12" t="n">
        <f aca="false">IF(G90="","",ROUND(G90*(1-Supuestos!$B$3),0))</f>
        <v>1463</v>
      </c>
      <c r="I90" s="9" t="s">
        <v>275</v>
      </c>
      <c r="J90" s="9" t="s">
        <v>276</v>
      </c>
      <c r="K90" s="9"/>
      <c r="L90" s="9"/>
      <c r="M90" s="13" t="s">
        <v>277</v>
      </c>
    </row>
    <row r="91" customFormat="false" ht="15" hidden="false" customHeight="true" outlineLevel="0" collapsed="false">
      <c r="A91" s="9" t="s">
        <v>278</v>
      </c>
      <c r="B91" s="9" t="s">
        <v>279</v>
      </c>
      <c r="C91" s="9" t="s">
        <v>24</v>
      </c>
      <c r="D91" s="9" t="s">
        <v>25</v>
      </c>
      <c r="E91" s="10" t="n">
        <v>4.4</v>
      </c>
      <c r="F91" s="9" t="n">
        <v>13</v>
      </c>
      <c r="G91" s="11" t="n">
        <v>1225</v>
      </c>
      <c r="H91" s="12" t="n">
        <f aca="false">IF(G91="","",ROUND(G91*(1-Supuestos!$B$3),0))</f>
        <v>858</v>
      </c>
      <c r="I91" s="9"/>
      <c r="J91" s="9"/>
      <c r="K91" s="9"/>
      <c r="L91" s="9"/>
      <c r="M91" s="13" t="s">
        <v>280</v>
      </c>
    </row>
    <row r="92" customFormat="false" ht="15" hidden="false" customHeight="true" outlineLevel="0" collapsed="false">
      <c r="A92" s="9" t="s">
        <v>278</v>
      </c>
      <c r="B92" s="9" t="s">
        <v>279</v>
      </c>
      <c r="C92" s="9" t="s">
        <v>24</v>
      </c>
      <c r="D92" s="9" t="s">
        <v>50</v>
      </c>
      <c r="E92" s="10"/>
      <c r="F92" s="9" t="n">
        <v>0</v>
      </c>
      <c r="G92" s="11" t="n">
        <v>4500</v>
      </c>
      <c r="H92" s="12" t="n">
        <f aca="false">IF(G92="","",ROUND(G92*(1-Supuestos!$B$3),0))</f>
        <v>3150</v>
      </c>
      <c r="I92" s="9"/>
      <c r="J92" s="9"/>
      <c r="K92" s="9"/>
      <c r="L92" s="9"/>
      <c r="M92" s="13" t="s">
        <v>281</v>
      </c>
    </row>
    <row r="93" customFormat="false" ht="15" hidden="false" customHeight="true" outlineLevel="0" collapsed="false">
      <c r="A93" s="9" t="s">
        <v>282</v>
      </c>
      <c r="B93" s="9" t="s">
        <v>283</v>
      </c>
      <c r="C93" s="9" t="s">
        <v>24</v>
      </c>
      <c r="D93" s="9" t="s">
        <v>25</v>
      </c>
      <c r="E93" s="10" t="n">
        <v>5</v>
      </c>
      <c r="F93" s="9" t="n">
        <v>11</v>
      </c>
      <c r="G93" s="11" t="n">
        <v>2450</v>
      </c>
      <c r="H93" s="12" t="n">
        <f aca="false">IF(G93="","",ROUND(G93*(1-Supuestos!$B$3),0))</f>
        <v>1715</v>
      </c>
      <c r="I93" s="9" t="s">
        <v>284</v>
      </c>
      <c r="J93" s="9" t="s">
        <v>285</v>
      </c>
      <c r="K93" s="9"/>
      <c r="L93" s="9"/>
      <c r="M93" s="13" t="s">
        <v>286</v>
      </c>
    </row>
    <row r="94" customFormat="false" ht="15" hidden="false" customHeight="true" outlineLevel="0" collapsed="false">
      <c r="A94" s="9" t="s">
        <v>287</v>
      </c>
      <c r="B94" s="9" t="s">
        <v>288</v>
      </c>
      <c r="C94" s="9" t="s">
        <v>24</v>
      </c>
      <c r="D94" s="9" t="s">
        <v>88</v>
      </c>
      <c r="E94" s="10" t="n">
        <v>5</v>
      </c>
      <c r="F94" s="9" t="n">
        <v>4</v>
      </c>
      <c r="G94" s="11" t="n">
        <v>9361</v>
      </c>
      <c r="H94" s="12" t="n">
        <f aca="false">IF(G94="","",ROUND(G94*(1-Supuestos!$B$3),0))</f>
        <v>6553</v>
      </c>
      <c r="I94" s="9" t="s">
        <v>289</v>
      </c>
      <c r="J94" s="9" t="s">
        <v>290</v>
      </c>
      <c r="K94" s="9" t="s">
        <v>291</v>
      </c>
      <c r="L94" s="9" t="s">
        <v>292</v>
      </c>
      <c r="M94" s="13" t="s">
        <v>293</v>
      </c>
    </row>
    <row r="95" customFormat="false" ht="15" hidden="false" customHeight="true" outlineLevel="0" collapsed="false">
      <c r="A95" s="9" t="s">
        <v>294</v>
      </c>
      <c r="B95" s="9" t="s">
        <v>295</v>
      </c>
      <c r="C95" s="9" t="s">
        <v>24</v>
      </c>
      <c r="D95" s="9" t="s">
        <v>25</v>
      </c>
      <c r="E95" s="10"/>
      <c r="F95" s="9" t="n">
        <v>0</v>
      </c>
      <c r="G95" s="11" t="n">
        <v>300</v>
      </c>
      <c r="H95" s="12" t="n">
        <f aca="false">IF(G95="","",ROUND(G95*(1-Supuestos!$B$3),0))</f>
        <v>210</v>
      </c>
      <c r="I95" s="9"/>
      <c r="J95" s="9"/>
      <c r="K95" s="9"/>
      <c r="L95" s="9"/>
      <c r="M95" s="13" t="s">
        <v>296</v>
      </c>
    </row>
    <row r="96" customFormat="false" ht="15" hidden="false" customHeight="true" outlineLevel="0" collapsed="false">
      <c r="A96" s="9" t="s">
        <v>297</v>
      </c>
      <c r="B96" s="9" t="s">
        <v>298</v>
      </c>
      <c r="C96" s="9" t="s">
        <v>24</v>
      </c>
      <c r="D96" s="9" t="s">
        <v>38</v>
      </c>
      <c r="E96" s="10" t="n">
        <v>5</v>
      </c>
      <c r="F96" s="9" t="n">
        <v>51</v>
      </c>
      <c r="G96" s="11" t="n">
        <v>1147</v>
      </c>
      <c r="H96" s="12" t="n">
        <f aca="false">IF(G96="","",ROUND(G96*(1-Supuestos!$B$3),0))</f>
        <v>803</v>
      </c>
      <c r="I96" s="9"/>
      <c r="J96" s="9"/>
      <c r="K96" s="9"/>
      <c r="L96" s="9"/>
      <c r="M96" s="13" t="s">
        <v>299</v>
      </c>
    </row>
    <row r="97" customFormat="false" ht="15" hidden="false" customHeight="true" outlineLevel="0" collapsed="false">
      <c r="A97" s="9" t="s">
        <v>300</v>
      </c>
      <c r="B97" s="9" t="s">
        <v>301</v>
      </c>
      <c r="C97" s="9" t="s">
        <v>24</v>
      </c>
      <c r="D97" s="9" t="s">
        <v>88</v>
      </c>
      <c r="E97" s="10" t="n">
        <v>5</v>
      </c>
      <c r="F97" s="9" t="n">
        <v>1</v>
      </c>
      <c r="G97" s="11" t="n">
        <v>3006</v>
      </c>
      <c r="H97" s="12" t="n">
        <f aca="false">IF(G97="","",ROUND(G97*(1-Supuestos!$B$3),0))</f>
        <v>2104</v>
      </c>
      <c r="I97" s="9"/>
      <c r="J97" s="9"/>
      <c r="K97" s="9" t="s">
        <v>302</v>
      </c>
      <c r="L97" s="9"/>
      <c r="M97" s="13" t="s">
        <v>303</v>
      </c>
    </row>
    <row r="98" customFormat="false" ht="15" hidden="false" customHeight="true" outlineLevel="0" collapsed="false">
      <c r="A98" s="9" t="s">
        <v>304</v>
      </c>
      <c r="B98" s="9" t="s">
        <v>305</v>
      </c>
      <c r="C98" s="9" t="s">
        <v>24</v>
      </c>
      <c r="D98" s="9" t="s">
        <v>38</v>
      </c>
      <c r="E98" s="10"/>
      <c r="F98" s="9" t="n">
        <v>0</v>
      </c>
      <c r="G98" s="11" t="n">
        <v>1054</v>
      </c>
      <c r="H98" s="12" t="n">
        <f aca="false">IF(G98="","",ROUND(G98*(1-Supuestos!$B$3),0))</f>
        <v>738</v>
      </c>
      <c r="I98" s="9"/>
      <c r="J98" s="9"/>
      <c r="K98" s="9"/>
      <c r="L98" s="9"/>
      <c r="M98" s="13" t="s">
        <v>306</v>
      </c>
    </row>
    <row r="99" customFormat="false" ht="15" hidden="false" customHeight="true" outlineLevel="0" collapsed="false">
      <c r="A99" s="9" t="s">
        <v>307</v>
      </c>
      <c r="B99" s="9" t="s">
        <v>308</v>
      </c>
      <c r="C99" s="9" t="s">
        <v>24</v>
      </c>
      <c r="D99" s="9" t="s">
        <v>38</v>
      </c>
      <c r="E99" s="10" t="n">
        <v>5</v>
      </c>
      <c r="F99" s="9" t="n">
        <v>22</v>
      </c>
      <c r="G99" s="11" t="n">
        <v>3256</v>
      </c>
      <c r="H99" s="12" t="n">
        <f aca="false">IF(G99="","",ROUND(G99*(1-Supuestos!$B$3),0))</f>
        <v>2279</v>
      </c>
      <c r="I99" s="9"/>
      <c r="J99" s="9"/>
      <c r="K99" s="9"/>
      <c r="L99" s="9"/>
      <c r="M99" s="13" t="s">
        <v>309</v>
      </c>
    </row>
    <row r="100" customFormat="false" ht="15" hidden="false" customHeight="true" outlineLevel="0" collapsed="false">
      <c r="A100" s="9" t="s">
        <v>310</v>
      </c>
      <c r="B100" s="9" t="s">
        <v>311</v>
      </c>
      <c r="C100" s="9" t="s">
        <v>24</v>
      </c>
      <c r="D100" s="9" t="s">
        <v>38</v>
      </c>
      <c r="E100" s="10" t="n">
        <v>5</v>
      </c>
      <c r="F100" s="9" t="n">
        <v>1</v>
      </c>
      <c r="G100" s="11" t="n">
        <v>870</v>
      </c>
      <c r="H100" s="12" t="n">
        <f aca="false">IF(G100="","",ROUND(G100*(1-Supuestos!$B$3),0))</f>
        <v>609</v>
      </c>
      <c r="I100" s="9"/>
      <c r="J100" s="9"/>
      <c r="K100" s="9"/>
      <c r="L100" s="9"/>
      <c r="M100" s="13" t="s">
        <v>312</v>
      </c>
    </row>
    <row r="101" customFormat="false" ht="15" hidden="false" customHeight="true" outlineLevel="0" collapsed="false">
      <c r="A101" s="9" t="s">
        <v>313</v>
      </c>
      <c r="B101" s="9" t="s">
        <v>314</v>
      </c>
      <c r="C101" s="9" t="s">
        <v>24</v>
      </c>
      <c r="D101" s="9" t="s">
        <v>38</v>
      </c>
      <c r="E101" s="10" t="n">
        <v>4.98</v>
      </c>
      <c r="F101" s="9" t="n">
        <v>85</v>
      </c>
      <c r="G101" s="11" t="n">
        <v>740</v>
      </c>
      <c r="H101" s="12" t="n">
        <f aca="false">IF(G101="","",ROUND(G101*(1-Supuestos!$B$3),0))</f>
        <v>518</v>
      </c>
      <c r="I101" s="9"/>
      <c r="J101" s="9"/>
      <c r="K101" s="9"/>
      <c r="L101" s="9"/>
      <c r="M101" s="13" t="s">
        <v>315</v>
      </c>
    </row>
    <row r="102" customFormat="false" ht="15" hidden="false" customHeight="true" outlineLevel="0" collapsed="false">
      <c r="A102" s="9" t="s">
        <v>316</v>
      </c>
      <c r="B102" s="14" t="s">
        <v>317</v>
      </c>
      <c r="C102" s="9" t="s">
        <v>24</v>
      </c>
      <c r="D102" s="9" t="s">
        <v>38</v>
      </c>
      <c r="E102" s="10"/>
      <c r="F102" s="9" t="n">
        <v>0</v>
      </c>
      <c r="G102" s="11" t="n">
        <v>1221</v>
      </c>
      <c r="H102" s="12" t="n">
        <f aca="false">IF(G102="","",ROUND(G102*(1-Supuestos!$B$3),0))</f>
        <v>855</v>
      </c>
      <c r="I102" s="9"/>
      <c r="J102" s="9"/>
      <c r="K102" s="9"/>
      <c r="L102" s="9"/>
      <c r="M102" s="13" t="s">
        <v>318</v>
      </c>
    </row>
    <row r="103" customFormat="false" ht="15" hidden="false" customHeight="true" outlineLevel="0" collapsed="false">
      <c r="A103" s="9" t="s">
        <v>319</v>
      </c>
      <c r="B103" s="9" t="s">
        <v>320</v>
      </c>
      <c r="C103" s="9" t="s">
        <v>24</v>
      </c>
      <c r="D103" s="9" t="s">
        <v>50</v>
      </c>
      <c r="E103" s="10" t="n">
        <v>4.65</v>
      </c>
      <c r="F103" s="9" t="n">
        <v>10</v>
      </c>
      <c r="G103" s="11" t="n">
        <v>300</v>
      </c>
      <c r="H103" s="12" t="n">
        <f aca="false">IF(G103="","",ROUND(G103*(1-Supuestos!$B$3),0))</f>
        <v>210</v>
      </c>
      <c r="I103" s="9"/>
      <c r="J103" s="9"/>
      <c r="K103" s="9"/>
      <c r="L103" s="9"/>
      <c r="M103" s="13" t="s">
        <v>321</v>
      </c>
    </row>
    <row r="104" customFormat="false" ht="15" hidden="false" customHeight="true" outlineLevel="0" collapsed="false">
      <c r="A104" s="9" t="s">
        <v>319</v>
      </c>
      <c r="B104" s="9" t="s">
        <v>322</v>
      </c>
      <c r="C104" s="9" t="s">
        <v>46</v>
      </c>
      <c r="D104" s="9" t="s">
        <v>50</v>
      </c>
      <c r="E104" s="10" t="n">
        <v>4.29</v>
      </c>
      <c r="F104" s="9" t="n">
        <v>3</v>
      </c>
      <c r="G104" s="11" t="n">
        <v>300</v>
      </c>
      <c r="H104" s="12" t="n">
        <f aca="false">IF(G104="","",ROUND(G104*(1-Supuestos!$B$3),0))</f>
        <v>210</v>
      </c>
      <c r="I104" s="9"/>
      <c r="J104" s="9"/>
      <c r="K104" s="9"/>
      <c r="L104" s="9"/>
      <c r="M104" s="13" t="s">
        <v>323</v>
      </c>
    </row>
    <row r="105" customFormat="false" ht="15" hidden="false" customHeight="true" outlineLevel="0" collapsed="false">
      <c r="A105" s="9" t="s">
        <v>324</v>
      </c>
      <c r="B105" s="9" t="s">
        <v>325</v>
      </c>
      <c r="C105" s="9" t="s">
        <v>24</v>
      </c>
      <c r="D105" s="9" t="s">
        <v>38</v>
      </c>
      <c r="E105" s="10" t="n">
        <v>4.98</v>
      </c>
      <c r="F105" s="9" t="n">
        <v>103</v>
      </c>
      <c r="G105" s="11" t="n">
        <v>555</v>
      </c>
      <c r="H105" s="12" t="n">
        <f aca="false">IF(G105="","",ROUND(G105*(1-Supuestos!$B$3),0))</f>
        <v>389</v>
      </c>
      <c r="I105" s="9"/>
      <c r="J105" s="9"/>
      <c r="K105" s="9"/>
      <c r="L105" s="9"/>
      <c r="M105" s="13" t="s">
        <v>326</v>
      </c>
    </row>
    <row r="106" customFormat="false" ht="15" hidden="false" customHeight="true" outlineLevel="0" collapsed="false">
      <c r="A106" s="9" t="s">
        <v>324</v>
      </c>
      <c r="B106" s="9" t="s">
        <v>327</v>
      </c>
      <c r="C106" s="9" t="s">
        <v>24</v>
      </c>
      <c r="D106" s="9" t="s">
        <v>38</v>
      </c>
      <c r="E106" s="10" t="n">
        <v>5</v>
      </c>
      <c r="F106" s="9" t="n">
        <v>3</v>
      </c>
      <c r="G106" s="11" t="n">
        <v>555</v>
      </c>
      <c r="H106" s="12" t="n">
        <f aca="false">IF(G106="","",ROUND(G106*(1-Supuestos!$B$3),0))</f>
        <v>389</v>
      </c>
      <c r="I106" s="9"/>
      <c r="J106" s="9"/>
      <c r="K106" s="9"/>
      <c r="L106" s="9"/>
      <c r="M106" s="13" t="s">
        <v>328</v>
      </c>
    </row>
    <row r="107" customFormat="false" ht="15" hidden="false" customHeight="true" outlineLevel="0" collapsed="false">
      <c r="A107" s="9" t="s">
        <v>329</v>
      </c>
      <c r="B107" s="9" t="s">
        <v>330</v>
      </c>
      <c r="C107" s="9" t="s">
        <v>24</v>
      </c>
      <c r="D107" s="9" t="s">
        <v>38</v>
      </c>
      <c r="E107" s="10" t="n">
        <v>4.8</v>
      </c>
      <c r="F107" s="9" t="n">
        <v>10</v>
      </c>
      <c r="G107" s="11" t="n">
        <v>407</v>
      </c>
      <c r="H107" s="12" t="n">
        <f aca="false">IF(G107="","",ROUND(G107*(1-Supuestos!$B$3),0))</f>
        <v>285</v>
      </c>
      <c r="I107" s="9"/>
      <c r="J107" s="9"/>
      <c r="K107" s="9"/>
      <c r="L107" s="9"/>
      <c r="M107" s="13" t="s">
        <v>331</v>
      </c>
    </row>
    <row r="108" customFormat="false" ht="15" hidden="false" customHeight="true" outlineLevel="0" collapsed="false">
      <c r="A108" s="9" t="s">
        <v>329</v>
      </c>
      <c r="B108" s="9" t="s">
        <v>332</v>
      </c>
      <c r="C108" s="9" t="s">
        <v>24</v>
      </c>
      <c r="D108" s="9" t="s">
        <v>38</v>
      </c>
      <c r="E108" s="10"/>
      <c r="F108" s="9" t="n">
        <v>0</v>
      </c>
      <c r="G108" s="11" t="n">
        <v>481</v>
      </c>
      <c r="H108" s="12" t="n">
        <f aca="false">IF(G108="","",ROUND(G108*(1-Supuestos!$B$3),0))</f>
        <v>337</v>
      </c>
      <c r="I108" s="9"/>
      <c r="J108" s="9"/>
      <c r="K108" s="9"/>
      <c r="L108" s="9"/>
      <c r="M108" s="13" t="s">
        <v>333</v>
      </c>
    </row>
    <row r="109" customFormat="false" ht="15" hidden="false" customHeight="true" outlineLevel="0" collapsed="false">
      <c r="A109" s="9" t="s">
        <v>334</v>
      </c>
      <c r="B109" s="9" t="s">
        <v>335</v>
      </c>
      <c r="C109" s="9" t="s">
        <v>42</v>
      </c>
      <c r="D109" s="9" t="s">
        <v>50</v>
      </c>
      <c r="E109" s="10" t="n">
        <v>5</v>
      </c>
      <c r="F109" s="9" t="n">
        <v>2</v>
      </c>
      <c r="G109" s="11" t="n">
        <v>1600</v>
      </c>
      <c r="H109" s="12" t="n">
        <f aca="false">IF(G109="","",ROUND(G109*(1-Supuestos!$B$3),0))</f>
        <v>1120</v>
      </c>
      <c r="I109" s="9"/>
      <c r="J109" s="9"/>
      <c r="K109" s="9"/>
      <c r="L109" s="9"/>
      <c r="M109" s="13" t="s">
        <v>336</v>
      </c>
    </row>
    <row r="110" customFormat="false" ht="15" hidden="false" customHeight="true" outlineLevel="0" collapsed="false">
      <c r="A110" s="9" t="s">
        <v>337</v>
      </c>
      <c r="B110" s="9" t="s">
        <v>338</v>
      </c>
      <c r="C110" s="9" t="s">
        <v>46</v>
      </c>
      <c r="D110" s="9" t="s">
        <v>25</v>
      </c>
      <c r="E110" s="10"/>
      <c r="F110" s="9" t="n">
        <v>0</v>
      </c>
      <c r="G110" s="11" t="n">
        <v>749</v>
      </c>
      <c r="H110" s="12" t="n">
        <f aca="false">IF(G110="","",ROUND(G110*(1-Supuestos!$B$3),0))</f>
        <v>524</v>
      </c>
      <c r="I110" s="9"/>
      <c r="J110" s="9"/>
      <c r="K110" s="9"/>
      <c r="L110" s="9"/>
      <c r="M110" s="13" t="s">
        <v>339</v>
      </c>
    </row>
    <row r="111" customFormat="false" ht="15" hidden="false" customHeight="true" outlineLevel="0" collapsed="false">
      <c r="A111" s="9" t="s">
        <v>340</v>
      </c>
      <c r="B111" s="9" t="s">
        <v>341</v>
      </c>
      <c r="C111" s="9" t="s">
        <v>24</v>
      </c>
      <c r="D111" s="9" t="s">
        <v>25</v>
      </c>
      <c r="E111" s="10" t="n">
        <v>4.9</v>
      </c>
      <c r="F111" s="9" t="n">
        <v>216</v>
      </c>
      <c r="G111" s="11" t="n">
        <v>1850</v>
      </c>
      <c r="H111" s="12" t="n">
        <f aca="false">IF(G111="","",ROUND(G111*(1-Supuestos!$B$3),0))</f>
        <v>1295</v>
      </c>
      <c r="I111" s="9" t="s">
        <v>342</v>
      </c>
      <c r="J111" s="9" t="s">
        <v>343</v>
      </c>
      <c r="K111" s="9" t="s">
        <v>344</v>
      </c>
      <c r="L111" s="9" t="s">
        <v>345</v>
      </c>
      <c r="M111" s="13" t="s">
        <v>346</v>
      </c>
    </row>
    <row r="112" customFormat="false" ht="15" hidden="false" customHeight="true" outlineLevel="0" collapsed="false">
      <c r="A112" s="9" t="s">
        <v>340</v>
      </c>
      <c r="B112" s="9" t="s">
        <v>347</v>
      </c>
      <c r="C112" s="9" t="s">
        <v>24</v>
      </c>
      <c r="D112" s="9" t="s">
        <v>25</v>
      </c>
      <c r="E112" s="10" t="n">
        <v>4.9</v>
      </c>
      <c r="F112" s="9" t="n">
        <v>382</v>
      </c>
      <c r="G112" s="11" t="n">
        <v>2400</v>
      </c>
      <c r="H112" s="12" t="n">
        <f aca="false">IF(G112="","",ROUND(G112*(1-Supuestos!$B$3),0))</f>
        <v>1680</v>
      </c>
      <c r="I112" s="9" t="s">
        <v>342</v>
      </c>
      <c r="J112" s="9" t="s">
        <v>343</v>
      </c>
      <c r="K112" s="9" t="s">
        <v>344</v>
      </c>
      <c r="L112" s="9" t="s">
        <v>345</v>
      </c>
      <c r="M112" s="13" t="s">
        <v>348</v>
      </c>
    </row>
    <row r="113" customFormat="false" ht="15" hidden="false" customHeight="true" outlineLevel="0" collapsed="false">
      <c r="A113" s="9" t="s">
        <v>349</v>
      </c>
      <c r="B113" s="9" t="s">
        <v>350</v>
      </c>
      <c r="C113" s="9" t="s">
        <v>24</v>
      </c>
      <c r="D113" s="9" t="s">
        <v>25</v>
      </c>
      <c r="E113" s="10" t="n">
        <v>5</v>
      </c>
      <c r="F113" s="9" t="n">
        <v>9</v>
      </c>
      <c r="G113" s="11" t="n">
        <v>925</v>
      </c>
      <c r="H113" s="12" t="n">
        <f aca="false">IF(G113="","",ROUND(G113*(1-Supuestos!$B$3),0))</f>
        <v>648</v>
      </c>
      <c r="I113" s="9" t="s">
        <v>351</v>
      </c>
      <c r="J113" s="9" t="s">
        <v>352</v>
      </c>
      <c r="K113" s="9" t="s">
        <v>353</v>
      </c>
      <c r="L113" s="9" t="s">
        <v>354</v>
      </c>
      <c r="M113" s="13" t="s">
        <v>355</v>
      </c>
    </row>
    <row r="114" customFormat="false" ht="15" hidden="false" customHeight="true" outlineLevel="0" collapsed="false">
      <c r="A114" s="9" t="s">
        <v>349</v>
      </c>
      <c r="B114" s="9" t="s">
        <v>356</v>
      </c>
      <c r="C114" s="9" t="s">
        <v>24</v>
      </c>
      <c r="D114" s="9" t="s">
        <v>38</v>
      </c>
      <c r="E114" s="10"/>
      <c r="F114" s="9" t="n">
        <v>0</v>
      </c>
      <c r="G114" s="11" t="n">
        <v>1536</v>
      </c>
      <c r="H114" s="12" t="n">
        <f aca="false">IF(G114="","",ROUND(G114*(1-Supuestos!$B$3),0))</f>
        <v>1075</v>
      </c>
      <c r="I114" s="9" t="s">
        <v>351</v>
      </c>
      <c r="J114" s="9" t="s">
        <v>352</v>
      </c>
      <c r="K114" s="9" t="s">
        <v>353</v>
      </c>
      <c r="L114" s="9" t="s">
        <v>354</v>
      </c>
      <c r="M114" s="13" t="s">
        <v>357</v>
      </c>
    </row>
    <row r="115" customFormat="false" ht="15" hidden="false" customHeight="true" outlineLevel="0" collapsed="false">
      <c r="A115" s="9" t="s">
        <v>349</v>
      </c>
      <c r="B115" s="9" t="s">
        <v>356</v>
      </c>
      <c r="C115" s="9" t="s">
        <v>24</v>
      </c>
      <c r="D115" s="9" t="s">
        <v>25</v>
      </c>
      <c r="E115" s="10" t="n">
        <v>5</v>
      </c>
      <c r="F115" s="9" t="n">
        <v>23</v>
      </c>
      <c r="G115" s="11" t="n">
        <v>1380</v>
      </c>
      <c r="H115" s="12" t="n">
        <f aca="false">IF(G115="","",ROUND(G115*(1-Supuestos!$B$3),0))</f>
        <v>966</v>
      </c>
      <c r="I115" s="9" t="s">
        <v>351</v>
      </c>
      <c r="J115" s="9" t="s">
        <v>352</v>
      </c>
      <c r="K115" s="9" t="s">
        <v>353</v>
      </c>
      <c r="L115" s="9" t="s">
        <v>354</v>
      </c>
      <c r="M115" s="13" t="s">
        <v>358</v>
      </c>
    </row>
    <row r="116" customFormat="false" ht="15" hidden="false" customHeight="true" outlineLevel="0" collapsed="false">
      <c r="A116" s="9" t="s">
        <v>349</v>
      </c>
      <c r="B116" s="9" t="s">
        <v>356</v>
      </c>
      <c r="C116" s="9" t="s">
        <v>24</v>
      </c>
      <c r="D116" s="9" t="s">
        <v>50</v>
      </c>
      <c r="E116" s="10" t="n">
        <v>4.87</v>
      </c>
      <c r="F116" s="9" t="n">
        <v>6</v>
      </c>
      <c r="G116" s="11" t="n">
        <v>1405</v>
      </c>
      <c r="H116" s="12" t="n">
        <f aca="false">IF(G116="","",ROUND(G116*(1-Supuestos!$B$3),0))</f>
        <v>983</v>
      </c>
      <c r="I116" s="9" t="s">
        <v>351</v>
      </c>
      <c r="J116" s="9" t="s">
        <v>352</v>
      </c>
      <c r="K116" s="9" t="s">
        <v>353</v>
      </c>
      <c r="L116" s="9" t="s">
        <v>354</v>
      </c>
      <c r="M116" s="13" t="s">
        <v>359</v>
      </c>
    </row>
    <row r="117" customFormat="false" ht="15" hidden="false" customHeight="true" outlineLevel="0" collapsed="false">
      <c r="A117" s="9" t="s">
        <v>360</v>
      </c>
      <c r="B117" s="9" t="s">
        <v>361</v>
      </c>
      <c r="C117" s="9" t="s">
        <v>24</v>
      </c>
      <c r="D117" s="9" t="s">
        <v>38</v>
      </c>
      <c r="E117" s="10" t="n">
        <v>4.88</v>
      </c>
      <c r="F117" s="9" t="n">
        <v>8</v>
      </c>
      <c r="G117" s="11" t="n">
        <v>722</v>
      </c>
      <c r="H117" s="12" t="n">
        <f aca="false">IF(G117="","",ROUND(G117*(1-Supuestos!$B$3),0))</f>
        <v>505</v>
      </c>
      <c r="I117" s="9"/>
      <c r="J117" s="9"/>
      <c r="K117" s="9"/>
      <c r="L117" s="9"/>
      <c r="M117" s="13" t="s">
        <v>362</v>
      </c>
    </row>
    <row r="118" customFormat="false" ht="15" hidden="false" customHeight="true" outlineLevel="0" collapsed="false">
      <c r="A118" s="9" t="s">
        <v>363</v>
      </c>
      <c r="B118" s="9" t="s">
        <v>364</v>
      </c>
      <c r="C118" s="9" t="s">
        <v>24</v>
      </c>
      <c r="D118" s="9" t="s">
        <v>25</v>
      </c>
      <c r="E118" s="10"/>
      <c r="F118" s="9" t="n">
        <v>0</v>
      </c>
      <c r="G118" s="11" t="n">
        <v>1950</v>
      </c>
      <c r="H118" s="12" t="n">
        <f aca="false">IF(G118="","",ROUND(G118*(1-Supuestos!$B$3),0))</f>
        <v>1365</v>
      </c>
      <c r="I118" s="9"/>
      <c r="J118" s="9"/>
      <c r="K118" s="9"/>
      <c r="L118" s="9"/>
      <c r="M118" s="13" t="s">
        <v>365</v>
      </c>
    </row>
    <row r="119" customFormat="false" ht="15" hidden="false" customHeight="true" outlineLevel="0" collapsed="false">
      <c r="A119" s="9" t="s">
        <v>366</v>
      </c>
      <c r="B119" s="9" t="s">
        <v>367</v>
      </c>
      <c r="C119" s="9" t="s">
        <v>24</v>
      </c>
      <c r="D119" s="9" t="s">
        <v>25</v>
      </c>
      <c r="E119" s="10"/>
      <c r="F119" s="9" t="n">
        <v>0</v>
      </c>
      <c r="G119" s="11" t="n">
        <v>788</v>
      </c>
      <c r="H119" s="12" t="n">
        <f aca="false">IF(G119="","",ROUND(G119*(1-Supuestos!$B$3),0))</f>
        <v>552</v>
      </c>
      <c r="I119" s="9"/>
      <c r="J119" s="9"/>
      <c r="K119" s="9"/>
      <c r="L119" s="9"/>
      <c r="M119" s="13" t="s">
        <v>368</v>
      </c>
    </row>
    <row r="120" customFormat="false" ht="15" hidden="false" customHeight="true" outlineLevel="0" collapsed="false">
      <c r="A120" s="9" t="s">
        <v>369</v>
      </c>
      <c r="B120" s="9" t="s">
        <v>370</v>
      </c>
      <c r="C120" s="9" t="s">
        <v>24</v>
      </c>
      <c r="D120" s="9" t="s">
        <v>38</v>
      </c>
      <c r="E120" s="10"/>
      <c r="F120" s="9" t="n">
        <v>0</v>
      </c>
      <c r="G120" s="11" t="n">
        <v>1314</v>
      </c>
      <c r="H120" s="12" t="n">
        <f aca="false">IF(G120="","",ROUND(G120*(1-Supuestos!$B$3),0))</f>
        <v>920</v>
      </c>
      <c r="I120" s="9" t="s">
        <v>371</v>
      </c>
      <c r="J120" s="9" t="s">
        <v>372</v>
      </c>
      <c r="K120" s="9"/>
      <c r="L120" s="9"/>
      <c r="M120" s="13" t="s">
        <v>373</v>
      </c>
    </row>
    <row r="121" customFormat="false" ht="15" hidden="false" customHeight="true" outlineLevel="0" collapsed="false">
      <c r="A121" s="9" t="s">
        <v>369</v>
      </c>
      <c r="B121" s="9" t="s">
        <v>370</v>
      </c>
      <c r="C121" s="9" t="s">
        <v>24</v>
      </c>
      <c r="D121" s="9" t="s">
        <v>25</v>
      </c>
      <c r="E121" s="10" t="n">
        <v>5</v>
      </c>
      <c r="F121" s="9" t="n">
        <v>7</v>
      </c>
      <c r="G121" s="11" t="n">
        <v>950</v>
      </c>
      <c r="H121" s="12" t="n">
        <f aca="false">IF(G121="","",ROUND(G121*(1-Supuestos!$B$3),0))</f>
        <v>665</v>
      </c>
      <c r="I121" s="9" t="s">
        <v>371</v>
      </c>
      <c r="J121" s="9" t="s">
        <v>372</v>
      </c>
      <c r="K121" s="9"/>
      <c r="L121" s="9"/>
      <c r="M121" s="13" t="s">
        <v>374</v>
      </c>
    </row>
    <row r="122" customFormat="false" ht="15" hidden="false" customHeight="true" outlineLevel="0" collapsed="false">
      <c r="A122" s="9" t="s">
        <v>369</v>
      </c>
      <c r="B122" s="9" t="s">
        <v>370</v>
      </c>
      <c r="C122" s="9" t="s">
        <v>24</v>
      </c>
      <c r="D122" s="9" t="s">
        <v>50</v>
      </c>
      <c r="E122" s="10" t="n">
        <v>5</v>
      </c>
      <c r="F122" s="9" t="n">
        <v>1</v>
      </c>
      <c r="G122" s="11" t="n">
        <v>990</v>
      </c>
      <c r="H122" s="12" t="n">
        <f aca="false">IF(G122="","",ROUND(G122*(1-Supuestos!$B$3),0))</f>
        <v>693</v>
      </c>
      <c r="I122" s="9" t="s">
        <v>371</v>
      </c>
      <c r="J122" s="9" t="s">
        <v>372</v>
      </c>
      <c r="K122" s="9"/>
      <c r="L122" s="9"/>
      <c r="M122" s="13" t="s">
        <v>375</v>
      </c>
    </row>
    <row r="123" customFormat="false" ht="15" hidden="false" customHeight="true" outlineLevel="0" collapsed="false">
      <c r="A123" s="9" t="s">
        <v>369</v>
      </c>
      <c r="B123" s="9" t="s">
        <v>376</v>
      </c>
      <c r="C123" s="9" t="s">
        <v>24</v>
      </c>
      <c r="D123" s="9" t="s">
        <v>25</v>
      </c>
      <c r="E123" s="10" t="n">
        <v>5</v>
      </c>
      <c r="F123" s="9" t="n">
        <v>1</v>
      </c>
      <c r="G123" s="11" t="n">
        <v>500</v>
      </c>
      <c r="H123" s="12" t="n">
        <f aca="false">IF(G123="","",ROUND(G123*(1-Supuestos!$B$3),0))</f>
        <v>350</v>
      </c>
      <c r="I123" s="9" t="s">
        <v>371</v>
      </c>
      <c r="J123" s="9" t="s">
        <v>372</v>
      </c>
      <c r="K123" s="9"/>
      <c r="L123" s="9"/>
      <c r="M123" s="13" t="s">
        <v>377</v>
      </c>
    </row>
    <row r="124" customFormat="false" ht="15" hidden="false" customHeight="true" outlineLevel="0" collapsed="false">
      <c r="A124" s="9" t="s">
        <v>369</v>
      </c>
      <c r="B124" s="9" t="s">
        <v>378</v>
      </c>
      <c r="C124" s="9" t="s">
        <v>24</v>
      </c>
      <c r="D124" s="9" t="s">
        <v>25</v>
      </c>
      <c r="E124" s="10" t="n">
        <v>5</v>
      </c>
      <c r="F124" s="9" t="n">
        <v>52</v>
      </c>
      <c r="G124" s="11" t="n">
        <v>1400</v>
      </c>
      <c r="H124" s="12" t="n">
        <f aca="false">IF(G124="","",ROUND(G124*(1-Supuestos!$B$3),0))</f>
        <v>980</v>
      </c>
      <c r="I124" s="9" t="s">
        <v>371</v>
      </c>
      <c r="J124" s="9" t="s">
        <v>372</v>
      </c>
      <c r="K124" s="9"/>
      <c r="L124" s="9"/>
      <c r="M124" s="13" t="s">
        <v>379</v>
      </c>
    </row>
    <row r="125" customFormat="false" ht="15" hidden="false" customHeight="true" outlineLevel="0" collapsed="false">
      <c r="A125" s="9" t="s">
        <v>369</v>
      </c>
      <c r="B125" s="9" t="s">
        <v>380</v>
      </c>
      <c r="C125" s="9" t="s">
        <v>24</v>
      </c>
      <c r="D125" s="9" t="s">
        <v>25</v>
      </c>
      <c r="E125" s="10" t="n">
        <v>5</v>
      </c>
      <c r="F125" s="9" t="n">
        <v>6</v>
      </c>
      <c r="G125" s="11" t="n">
        <v>1200</v>
      </c>
      <c r="H125" s="12" t="n">
        <f aca="false">IF(G125="","",ROUND(G125*(1-Supuestos!$B$3),0))</f>
        <v>840</v>
      </c>
      <c r="I125" s="9" t="s">
        <v>371</v>
      </c>
      <c r="J125" s="9" t="s">
        <v>372</v>
      </c>
      <c r="K125" s="9"/>
      <c r="L125" s="9"/>
      <c r="M125" s="13" t="s">
        <v>381</v>
      </c>
    </row>
    <row r="126" customFormat="false" ht="15" hidden="false" customHeight="true" outlineLevel="0" collapsed="false">
      <c r="A126" s="9" t="s">
        <v>369</v>
      </c>
      <c r="B126" s="9" t="s">
        <v>382</v>
      </c>
      <c r="C126" s="9" t="s">
        <v>24</v>
      </c>
      <c r="D126" s="9" t="s">
        <v>38</v>
      </c>
      <c r="E126" s="10" t="n">
        <v>5</v>
      </c>
      <c r="F126" s="9" t="n">
        <v>1</v>
      </c>
      <c r="G126" s="11" t="n">
        <v>1517</v>
      </c>
      <c r="H126" s="12" t="n">
        <f aca="false">IF(G126="","",ROUND(G126*(1-Supuestos!$B$3),0))</f>
        <v>1062</v>
      </c>
      <c r="I126" s="9" t="s">
        <v>371</v>
      </c>
      <c r="J126" s="9" t="s">
        <v>372</v>
      </c>
      <c r="K126" s="9"/>
      <c r="L126" s="9"/>
      <c r="M126" s="13" t="s">
        <v>383</v>
      </c>
    </row>
    <row r="127" customFormat="false" ht="15" hidden="false" customHeight="true" outlineLevel="0" collapsed="false">
      <c r="A127" s="9" t="s">
        <v>369</v>
      </c>
      <c r="B127" s="9" t="s">
        <v>382</v>
      </c>
      <c r="C127" s="9" t="s">
        <v>24</v>
      </c>
      <c r="D127" s="9" t="s">
        <v>25</v>
      </c>
      <c r="E127" s="10" t="n">
        <v>5</v>
      </c>
      <c r="F127" s="9" t="n">
        <v>13</v>
      </c>
      <c r="G127" s="11" t="n">
        <v>1000</v>
      </c>
      <c r="H127" s="12" t="n">
        <f aca="false">IF(G127="","",ROUND(G127*(1-Supuestos!$B$3),0))</f>
        <v>700</v>
      </c>
      <c r="I127" s="9" t="s">
        <v>371</v>
      </c>
      <c r="J127" s="9" t="s">
        <v>372</v>
      </c>
      <c r="K127" s="9"/>
      <c r="L127" s="9"/>
      <c r="M127" s="13" t="s">
        <v>384</v>
      </c>
    </row>
    <row r="128" customFormat="false" ht="15" hidden="false" customHeight="true" outlineLevel="0" collapsed="false">
      <c r="A128" s="9" t="s">
        <v>369</v>
      </c>
      <c r="B128" s="9" t="s">
        <v>385</v>
      </c>
      <c r="C128" s="9" t="s">
        <v>24</v>
      </c>
      <c r="D128" s="9" t="s">
        <v>25</v>
      </c>
      <c r="E128" s="10" t="n">
        <v>5</v>
      </c>
      <c r="F128" s="9" t="n">
        <v>38</v>
      </c>
      <c r="G128" s="11" t="n">
        <v>808</v>
      </c>
      <c r="H128" s="12" t="n">
        <f aca="false">IF(G128="","",ROUND(G128*(1-Supuestos!$B$3),0))</f>
        <v>566</v>
      </c>
      <c r="I128" s="9" t="s">
        <v>371</v>
      </c>
      <c r="J128" s="9" t="s">
        <v>372</v>
      </c>
      <c r="K128" s="9"/>
      <c r="L128" s="9"/>
      <c r="M128" s="13" t="s">
        <v>386</v>
      </c>
    </row>
    <row r="129" customFormat="false" ht="15" hidden="false" customHeight="true" outlineLevel="0" collapsed="false">
      <c r="A129" s="9" t="s">
        <v>369</v>
      </c>
      <c r="B129" s="9" t="s">
        <v>387</v>
      </c>
      <c r="C129" s="9" t="s">
        <v>24</v>
      </c>
      <c r="D129" s="9" t="s">
        <v>25</v>
      </c>
      <c r="E129" s="10" t="n">
        <v>5</v>
      </c>
      <c r="F129" s="9" t="n">
        <v>1</v>
      </c>
      <c r="G129" s="11" t="n">
        <v>1100</v>
      </c>
      <c r="H129" s="12" t="n">
        <f aca="false">IF(G129="","",ROUND(G129*(1-Supuestos!$B$3),0))</f>
        <v>770</v>
      </c>
      <c r="I129" s="9" t="s">
        <v>371</v>
      </c>
      <c r="J129" s="9" t="s">
        <v>372</v>
      </c>
      <c r="K129" s="9"/>
      <c r="L129" s="9"/>
      <c r="M129" s="13" t="s">
        <v>388</v>
      </c>
    </row>
    <row r="130" customFormat="false" ht="15" hidden="false" customHeight="true" outlineLevel="0" collapsed="false">
      <c r="A130" s="9" t="s">
        <v>389</v>
      </c>
      <c r="B130" s="9" t="s">
        <v>390</v>
      </c>
      <c r="C130" s="9" t="s">
        <v>24</v>
      </c>
      <c r="D130" s="9" t="s">
        <v>50</v>
      </c>
      <c r="E130" s="10" t="n">
        <v>5</v>
      </c>
      <c r="F130" s="9" t="n">
        <v>1</v>
      </c>
      <c r="G130" s="11" t="n">
        <v>660</v>
      </c>
      <c r="H130" s="12" t="n">
        <f aca="false">IF(G130="","",ROUND(G130*(1-Supuestos!$B$3),0))</f>
        <v>462</v>
      </c>
      <c r="I130" s="9"/>
      <c r="J130" s="9"/>
      <c r="K130" s="9"/>
      <c r="L130" s="9"/>
      <c r="M130" s="13" t="s">
        <v>391</v>
      </c>
    </row>
    <row r="131" customFormat="false" ht="15" hidden="false" customHeight="true" outlineLevel="0" collapsed="false">
      <c r="A131" s="9" t="s">
        <v>392</v>
      </c>
      <c r="B131" s="9" t="s">
        <v>393</v>
      </c>
      <c r="C131" s="9" t="s">
        <v>24</v>
      </c>
      <c r="D131" s="9" t="s">
        <v>25</v>
      </c>
      <c r="E131" s="10"/>
      <c r="F131" s="9" t="n">
        <v>0</v>
      </c>
      <c r="G131" s="11" t="n">
        <v>406</v>
      </c>
      <c r="H131" s="12" t="n">
        <f aca="false">IF(G131="","",ROUND(G131*(1-Supuestos!$B$3),0))</f>
        <v>284</v>
      </c>
      <c r="I131" s="9"/>
      <c r="J131" s="9"/>
      <c r="K131" s="9"/>
      <c r="L131" s="9"/>
      <c r="M131" s="13" t="s">
        <v>394</v>
      </c>
    </row>
    <row r="132" customFormat="false" ht="15" hidden="false" customHeight="true" outlineLevel="0" collapsed="false">
      <c r="A132" s="9" t="s">
        <v>392</v>
      </c>
      <c r="B132" s="9" t="s">
        <v>393</v>
      </c>
      <c r="C132" s="9" t="s">
        <v>24</v>
      </c>
      <c r="D132" s="9" t="s">
        <v>50</v>
      </c>
      <c r="E132" s="10"/>
      <c r="F132" s="9" t="n">
        <v>0</v>
      </c>
      <c r="G132" s="11" t="n">
        <v>226.1</v>
      </c>
      <c r="H132" s="12" t="n">
        <f aca="false">IF(G132="","",ROUND(G132*(1-Supuestos!$B$3),0))</f>
        <v>158</v>
      </c>
      <c r="I132" s="9"/>
      <c r="J132" s="9"/>
      <c r="K132" s="9"/>
      <c r="L132" s="9"/>
      <c r="M132" s="13" t="s">
        <v>395</v>
      </c>
    </row>
    <row r="133" customFormat="false" ht="15" hidden="false" customHeight="true" outlineLevel="0" collapsed="false">
      <c r="A133" s="9" t="s">
        <v>396</v>
      </c>
      <c r="B133" s="9" t="s">
        <v>397</v>
      </c>
      <c r="C133" s="9" t="s">
        <v>24</v>
      </c>
      <c r="D133" s="9" t="s">
        <v>50</v>
      </c>
      <c r="E133" s="10"/>
      <c r="F133" s="9" t="n">
        <v>0</v>
      </c>
      <c r="G133" s="11" t="n">
        <v>314.1</v>
      </c>
      <c r="H133" s="12" t="n">
        <f aca="false">IF(G133="","",ROUND(G133*(1-Supuestos!$B$3),0))</f>
        <v>220</v>
      </c>
      <c r="I133" s="9"/>
      <c r="J133" s="9"/>
      <c r="K133" s="9"/>
      <c r="L133" s="9"/>
      <c r="M133" s="13" t="s">
        <v>398</v>
      </c>
    </row>
    <row r="134" customFormat="false" ht="15" hidden="false" customHeight="true" outlineLevel="0" collapsed="false">
      <c r="A134" s="9" t="s">
        <v>396</v>
      </c>
      <c r="B134" s="9" t="s">
        <v>397</v>
      </c>
      <c r="C134" s="9" t="s">
        <v>24</v>
      </c>
      <c r="D134" s="9" t="s">
        <v>25</v>
      </c>
      <c r="E134" s="10"/>
      <c r="F134" s="9" t="n">
        <v>0</v>
      </c>
      <c r="G134" s="11" t="n">
        <v>549</v>
      </c>
      <c r="H134" s="12" t="n">
        <f aca="false">IF(G134="","",ROUND(G134*(1-Supuestos!$B$3),0))</f>
        <v>384</v>
      </c>
      <c r="I134" s="9"/>
      <c r="J134" s="9"/>
      <c r="K134" s="9"/>
      <c r="L134" s="9"/>
      <c r="M134" s="13" t="s">
        <v>399</v>
      </c>
    </row>
    <row r="135" customFormat="false" ht="15" hidden="false" customHeight="true" outlineLevel="0" collapsed="false">
      <c r="A135" s="9" t="s">
        <v>396</v>
      </c>
      <c r="B135" s="9" t="s">
        <v>400</v>
      </c>
      <c r="C135" s="9" t="s">
        <v>24</v>
      </c>
      <c r="D135" s="9" t="s">
        <v>25</v>
      </c>
      <c r="E135" s="10"/>
      <c r="F135" s="9" t="n">
        <v>0</v>
      </c>
      <c r="G135" s="11" t="n">
        <v>858</v>
      </c>
      <c r="H135" s="12" t="n">
        <f aca="false">IF(G135="","",ROUND(G135*(1-Supuestos!$B$3),0))</f>
        <v>601</v>
      </c>
      <c r="I135" s="9"/>
      <c r="J135" s="9"/>
      <c r="K135" s="9"/>
      <c r="L135" s="9"/>
      <c r="M135" s="13" t="s">
        <v>401</v>
      </c>
    </row>
    <row r="136" customFormat="false" ht="15" hidden="false" customHeight="true" outlineLevel="0" collapsed="false">
      <c r="A136" s="9" t="s">
        <v>396</v>
      </c>
      <c r="B136" s="9" t="s">
        <v>402</v>
      </c>
      <c r="C136" s="9" t="s">
        <v>24</v>
      </c>
      <c r="D136" s="9" t="s">
        <v>25</v>
      </c>
      <c r="E136" s="10" t="n">
        <v>4</v>
      </c>
      <c r="F136" s="9" t="n">
        <v>3</v>
      </c>
      <c r="G136" s="11" t="n">
        <v>799</v>
      </c>
      <c r="H136" s="12" t="n">
        <f aca="false">IF(G136="","",ROUND(G136*(1-Supuestos!$B$3),0))</f>
        <v>559</v>
      </c>
      <c r="I136" s="9"/>
      <c r="J136" s="9"/>
      <c r="K136" s="9"/>
      <c r="L136" s="9"/>
      <c r="M136" s="13" t="s">
        <v>403</v>
      </c>
    </row>
    <row r="137" customFormat="false" ht="15" hidden="false" customHeight="true" outlineLevel="0" collapsed="false">
      <c r="A137" s="9" t="s">
        <v>396</v>
      </c>
      <c r="B137" s="9" t="s">
        <v>404</v>
      </c>
      <c r="C137" s="9" t="s">
        <v>24</v>
      </c>
      <c r="D137" s="9" t="s">
        <v>25</v>
      </c>
      <c r="E137" s="10" t="n">
        <v>4.8</v>
      </c>
      <c r="F137" s="9" t="n">
        <v>231</v>
      </c>
      <c r="G137" s="11" t="n">
        <v>499</v>
      </c>
      <c r="H137" s="12" t="n">
        <f aca="false">IF(G137="","",ROUND(G137*(1-Supuestos!$B$3),0))</f>
        <v>349</v>
      </c>
      <c r="I137" s="9"/>
      <c r="J137" s="9"/>
      <c r="K137" s="9"/>
      <c r="L137" s="9"/>
      <c r="M137" s="13" t="s">
        <v>405</v>
      </c>
    </row>
    <row r="138" customFormat="false" ht="15" hidden="false" customHeight="true" outlineLevel="0" collapsed="false">
      <c r="A138" s="9" t="s">
        <v>396</v>
      </c>
      <c r="B138" s="9" t="s">
        <v>406</v>
      </c>
      <c r="C138" s="9" t="s">
        <v>24</v>
      </c>
      <c r="D138" s="9" t="s">
        <v>25</v>
      </c>
      <c r="E138" s="10"/>
      <c r="F138" s="9" t="n">
        <v>0</v>
      </c>
      <c r="G138" s="11" t="n">
        <v>450</v>
      </c>
      <c r="H138" s="12" t="n">
        <f aca="false">IF(G138="","",ROUND(G138*(1-Supuestos!$B$3),0))</f>
        <v>315</v>
      </c>
      <c r="I138" s="9"/>
      <c r="J138" s="9"/>
      <c r="K138" s="9"/>
      <c r="L138" s="9"/>
      <c r="M138" s="13" t="s">
        <v>407</v>
      </c>
    </row>
    <row r="139" customFormat="false" ht="15" hidden="false" customHeight="true" outlineLevel="0" collapsed="false">
      <c r="A139" s="9" t="s">
        <v>396</v>
      </c>
      <c r="B139" s="9" t="s">
        <v>406</v>
      </c>
      <c r="C139" s="9" t="s">
        <v>24</v>
      </c>
      <c r="D139" s="9" t="s">
        <v>50</v>
      </c>
      <c r="E139" s="10" t="n">
        <v>2.58</v>
      </c>
      <c r="F139" s="9" t="n">
        <v>5</v>
      </c>
      <c r="G139" s="11" t="n">
        <v>600</v>
      </c>
      <c r="H139" s="12" t="n">
        <f aca="false">IF(G139="","",ROUND(G139*(1-Supuestos!$B$3),0))</f>
        <v>420</v>
      </c>
      <c r="I139" s="9"/>
      <c r="J139" s="9"/>
      <c r="K139" s="9"/>
      <c r="L139" s="9"/>
      <c r="M139" s="13" t="s">
        <v>408</v>
      </c>
    </row>
    <row r="140" customFormat="false" ht="15" hidden="false" customHeight="true" outlineLevel="0" collapsed="false">
      <c r="A140" s="9" t="s">
        <v>409</v>
      </c>
      <c r="B140" s="9" t="s">
        <v>410</v>
      </c>
      <c r="C140" s="9" t="s">
        <v>42</v>
      </c>
      <c r="D140" s="9" t="s">
        <v>25</v>
      </c>
      <c r="E140" s="10" t="n">
        <v>4.9</v>
      </c>
      <c r="F140" s="9" t="n">
        <v>193</v>
      </c>
      <c r="G140" s="11" t="n">
        <v>1290</v>
      </c>
      <c r="H140" s="12" t="n">
        <f aca="false">IF(G140="","",ROUND(G140*(1-Supuestos!$B$3),0))</f>
        <v>903</v>
      </c>
      <c r="I140" s="9" t="s">
        <v>411</v>
      </c>
      <c r="J140" s="9" t="s">
        <v>412</v>
      </c>
      <c r="K140" s="9" t="s">
        <v>413</v>
      </c>
      <c r="L140" s="9"/>
      <c r="M140" s="13" t="s">
        <v>414</v>
      </c>
    </row>
    <row r="141" customFormat="false" ht="15" hidden="false" customHeight="true" outlineLevel="0" collapsed="false">
      <c r="A141" s="9" t="s">
        <v>409</v>
      </c>
      <c r="B141" s="9" t="s">
        <v>410</v>
      </c>
      <c r="C141" s="9" t="s">
        <v>42</v>
      </c>
      <c r="D141" s="9" t="s">
        <v>38</v>
      </c>
      <c r="E141" s="10" t="n">
        <v>4.96</v>
      </c>
      <c r="F141" s="9" t="n">
        <v>7935</v>
      </c>
      <c r="G141" s="11" t="n">
        <v>1406</v>
      </c>
      <c r="H141" s="12" t="n">
        <f aca="false">IF(G141="","",ROUND(G141*(1-Supuestos!$B$3),0))</f>
        <v>984</v>
      </c>
      <c r="I141" s="9" t="s">
        <v>411</v>
      </c>
      <c r="J141" s="9" t="s">
        <v>412</v>
      </c>
      <c r="K141" s="9" t="s">
        <v>413</v>
      </c>
      <c r="L141" s="9"/>
      <c r="M141" s="13" t="s">
        <v>415</v>
      </c>
    </row>
    <row r="142" customFormat="false" ht="15" hidden="false" customHeight="true" outlineLevel="0" collapsed="false">
      <c r="A142" s="9" t="s">
        <v>409</v>
      </c>
      <c r="B142" s="9" t="s">
        <v>416</v>
      </c>
      <c r="C142" s="9" t="s">
        <v>42</v>
      </c>
      <c r="D142" s="9" t="s">
        <v>25</v>
      </c>
      <c r="E142" s="10" t="n">
        <v>4.9</v>
      </c>
      <c r="F142" s="9" t="n">
        <v>1251</v>
      </c>
      <c r="G142" s="11" t="n">
        <v>1505</v>
      </c>
      <c r="H142" s="12" t="n">
        <f aca="false">IF(G142="","",ROUND(G142*(1-Supuestos!$B$3),0))</f>
        <v>1054</v>
      </c>
      <c r="I142" s="9" t="s">
        <v>411</v>
      </c>
      <c r="J142" s="9" t="s">
        <v>412</v>
      </c>
      <c r="K142" s="9" t="s">
        <v>413</v>
      </c>
      <c r="L142" s="9"/>
      <c r="M142" s="13" t="s">
        <v>417</v>
      </c>
    </row>
    <row r="143" customFormat="false" ht="15" hidden="false" customHeight="true" outlineLevel="0" collapsed="false">
      <c r="A143" s="9" t="s">
        <v>409</v>
      </c>
      <c r="B143" s="9" t="s">
        <v>416</v>
      </c>
      <c r="C143" s="9" t="s">
        <v>42</v>
      </c>
      <c r="D143" s="9" t="s">
        <v>38</v>
      </c>
      <c r="E143" s="10" t="n">
        <v>4.97</v>
      </c>
      <c r="F143" s="9" t="n">
        <v>5672</v>
      </c>
      <c r="G143" s="11" t="n">
        <v>1572</v>
      </c>
      <c r="H143" s="12" t="n">
        <f aca="false">IF(G143="","",ROUND(G143*(1-Supuestos!$B$3),0))</f>
        <v>1100</v>
      </c>
      <c r="I143" s="9" t="s">
        <v>411</v>
      </c>
      <c r="J143" s="9" t="s">
        <v>412</v>
      </c>
      <c r="K143" s="9" t="s">
        <v>413</v>
      </c>
      <c r="L143" s="9"/>
      <c r="M143" s="13" t="s">
        <v>418</v>
      </c>
    </row>
    <row r="144" customFormat="false" ht="15" hidden="false" customHeight="true" outlineLevel="0" collapsed="false">
      <c r="A144" s="9" t="s">
        <v>419</v>
      </c>
      <c r="B144" s="9" t="s">
        <v>420</v>
      </c>
      <c r="C144" s="9" t="s">
        <v>46</v>
      </c>
      <c r="D144" s="9" t="s">
        <v>25</v>
      </c>
      <c r="E144" s="10"/>
      <c r="F144" s="9" t="n">
        <v>0</v>
      </c>
      <c r="G144" s="11" t="n">
        <v>891</v>
      </c>
      <c r="H144" s="12" t="n">
        <f aca="false">IF(G144="","",ROUND(G144*(1-Supuestos!$B$3),0))</f>
        <v>624</v>
      </c>
      <c r="I144" s="9"/>
      <c r="J144" s="9"/>
      <c r="K144" s="9"/>
      <c r="L144" s="9"/>
      <c r="M144" s="13" t="s">
        <v>421</v>
      </c>
    </row>
    <row r="145" customFormat="false" ht="15" hidden="false" customHeight="true" outlineLevel="0" collapsed="false">
      <c r="A145" s="9" t="s">
        <v>422</v>
      </c>
      <c r="B145" s="9" t="s">
        <v>423</v>
      </c>
      <c r="C145" s="9" t="s">
        <v>42</v>
      </c>
      <c r="D145" s="9" t="s">
        <v>50</v>
      </c>
      <c r="E145" s="10" t="n">
        <v>4.84</v>
      </c>
      <c r="F145" s="9" t="n">
        <v>75</v>
      </c>
      <c r="G145" s="11" t="n">
        <v>1400</v>
      </c>
      <c r="H145" s="12" t="n">
        <f aca="false">IF(G145="","",ROUND(G145*(1-Supuestos!$B$3),0))</f>
        <v>980</v>
      </c>
      <c r="I145" s="9" t="s">
        <v>424</v>
      </c>
      <c r="J145" s="9" t="s">
        <v>425</v>
      </c>
      <c r="K145" s="9" t="s">
        <v>426</v>
      </c>
      <c r="L145" s="9" t="s">
        <v>427</v>
      </c>
      <c r="M145" s="13" t="s">
        <v>428</v>
      </c>
    </row>
    <row r="146" customFormat="false" ht="15" hidden="false" customHeight="true" outlineLevel="0" collapsed="false">
      <c r="A146" s="9" t="s">
        <v>422</v>
      </c>
      <c r="B146" s="9" t="s">
        <v>423</v>
      </c>
      <c r="C146" s="9" t="s">
        <v>42</v>
      </c>
      <c r="D146" s="9" t="s">
        <v>38</v>
      </c>
      <c r="E146" s="10" t="n">
        <v>4.97</v>
      </c>
      <c r="F146" s="9" t="n">
        <v>227</v>
      </c>
      <c r="G146" s="11" t="n">
        <v>1092</v>
      </c>
      <c r="H146" s="12" t="n">
        <f aca="false">IF(G146="","",ROUND(G146*(1-Supuestos!$B$3),0))</f>
        <v>764</v>
      </c>
      <c r="I146" s="9" t="s">
        <v>424</v>
      </c>
      <c r="J146" s="9" t="s">
        <v>425</v>
      </c>
      <c r="K146" s="9" t="s">
        <v>426</v>
      </c>
      <c r="L146" s="9" t="s">
        <v>427</v>
      </c>
      <c r="M146" s="13" t="s">
        <v>429</v>
      </c>
    </row>
    <row r="147" customFormat="false" ht="15" hidden="false" customHeight="true" outlineLevel="0" collapsed="false">
      <c r="A147" s="9" t="s">
        <v>430</v>
      </c>
      <c r="B147" s="9" t="s">
        <v>431</v>
      </c>
      <c r="C147" s="9" t="s">
        <v>24</v>
      </c>
      <c r="D147" s="9" t="s">
        <v>88</v>
      </c>
      <c r="E147" s="10" t="n">
        <v>3</v>
      </c>
      <c r="F147" s="9" t="n">
        <v>2</v>
      </c>
      <c r="G147" s="11" t="n">
        <v>2775</v>
      </c>
      <c r="H147" s="12" t="n">
        <f aca="false">IF(G147="","",ROUND(G147*(1-Supuestos!$B$3),0))</f>
        <v>1942</v>
      </c>
      <c r="I147" s="9"/>
      <c r="J147" s="9"/>
      <c r="K147" s="9" t="s">
        <v>432</v>
      </c>
      <c r="L147" s="9"/>
      <c r="M147" s="13" t="s">
        <v>433</v>
      </c>
    </row>
    <row r="148" customFormat="false" ht="15" hidden="false" customHeight="true" outlineLevel="0" collapsed="false">
      <c r="A148" s="9" t="s">
        <v>434</v>
      </c>
      <c r="B148" s="9" t="s">
        <v>435</v>
      </c>
      <c r="C148" s="9" t="s">
        <v>24</v>
      </c>
      <c r="D148" s="9" t="s">
        <v>25</v>
      </c>
      <c r="E148" s="10" t="n">
        <v>5</v>
      </c>
      <c r="F148" s="9" t="n">
        <v>9</v>
      </c>
      <c r="G148" s="11" t="n">
        <v>1498</v>
      </c>
      <c r="H148" s="12" t="n">
        <f aca="false">IF(G148="","",ROUND(G148*(1-Supuestos!$B$3),0))</f>
        <v>1049</v>
      </c>
      <c r="I148" s="9"/>
      <c r="J148" s="9"/>
      <c r="K148" s="9"/>
      <c r="L148" s="9"/>
      <c r="M148" s="13" t="s">
        <v>436</v>
      </c>
    </row>
    <row r="149" customFormat="false" ht="15" hidden="false" customHeight="true" outlineLevel="0" collapsed="false">
      <c r="A149" s="9" t="s">
        <v>437</v>
      </c>
      <c r="B149" s="9" t="s">
        <v>438</v>
      </c>
      <c r="C149" s="9" t="s">
        <v>24</v>
      </c>
      <c r="D149" s="9" t="s">
        <v>38</v>
      </c>
      <c r="E149" s="10"/>
      <c r="F149" s="9" t="n">
        <v>0</v>
      </c>
      <c r="G149" s="11" t="n">
        <v>610</v>
      </c>
      <c r="H149" s="12" t="n">
        <f aca="false">IF(G149="","",ROUND(G149*(1-Supuestos!$B$3),0))</f>
        <v>427</v>
      </c>
      <c r="I149" s="9"/>
      <c r="J149" s="9"/>
      <c r="K149" s="9"/>
      <c r="L149" s="9"/>
      <c r="M149" s="13" t="s">
        <v>439</v>
      </c>
    </row>
    <row r="150" customFormat="false" ht="15" hidden="false" customHeight="true" outlineLevel="0" collapsed="false">
      <c r="A150" s="9" t="s">
        <v>440</v>
      </c>
      <c r="B150" s="9" t="s">
        <v>441</v>
      </c>
      <c r="C150" s="9" t="s">
        <v>24</v>
      </c>
      <c r="D150" s="9" t="s">
        <v>25</v>
      </c>
      <c r="E150" s="10" t="n">
        <v>4.5</v>
      </c>
      <c r="F150" s="9" t="n">
        <v>2</v>
      </c>
      <c r="G150" s="11" t="n">
        <v>963</v>
      </c>
      <c r="H150" s="12" t="n">
        <f aca="false">IF(G150="","",ROUND(G150*(1-Supuestos!$B$3),0))</f>
        <v>674</v>
      </c>
      <c r="I150" s="9" t="s">
        <v>442</v>
      </c>
      <c r="J150" s="9" t="s">
        <v>443</v>
      </c>
      <c r="K150" s="9"/>
      <c r="L150" s="9"/>
      <c r="M150" s="13" t="s">
        <v>444</v>
      </c>
    </row>
    <row r="151" customFormat="false" ht="15" hidden="false" customHeight="true" outlineLevel="0" collapsed="false">
      <c r="A151" s="9" t="s">
        <v>440</v>
      </c>
      <c r="B151" s="9" t="s">
        <v>445</v>
      </c>
      <c r="C151" s="9" t="s">
        <v>24</v>
      </c>
      <c r="D151" s="9" t="s">
        <v>25</v>
      </c>
      <c r="E151" s="10"/>
      <c r="F151" s="9" t="n">
        <v>0</v>
      </c>
      <c r="G151" s="11" t="n">
        <v>875</v>
      </c>
      <c r="H151" s="12" t="n">
        <f aca="false">IF(G151="","",ROUND(G151*(1-Supuestos!$B$3),0))</f>
        <v>613</v>
      </c>
      <c r="I151" s="9" t="s">
        <v>442</v>
      </c>
      <c r="J151" s="9" t="s">
        <v>443</v>
      </c>
      <c r="K151" s="9"/>
      <c r="L151" s="9"/>
      <c r="M151" s="13" t="s">
        <v>446</v>
      </c>
    </row>
    <row r="152" customFormat="false" ht="15" hidden="false" customHeight="true" outlineLevel="0" collapsed="false">
      <c r="A152" s="9" t="s">
        <v>447</v>
      </c>
      <c r="B152" s="9" t="s">
        <v>448</v>
      </c>
      <c r="C152" s="9" t="s">
        <v>24</v>
      </c>
      <c r="D152" s="9" t="s">
        <v>38</v>
      </c>
      <c r="E152" s="10" t="n">
        <v>4.94</v>
      </c>
      <c r="F152" s="9" t="n">
        <v>177</v>
      </c>
      <c r="G152" s="11" t="n">
        <v>1036</v>
      </c>
      <c r="H152" s="12" t="n">
        <f aca="false">IF(G152="","",ROUND(G152*(1-Supuestos!$B$3),0))</f>
        <v>725</v>
      </c>
      <c r="I152" s="9"/>
      <c r="J152" s="9"/>
      <c r="K152" s="9"/>
      <c r="L152" s="9"/>
      <c r="M152" s="13" t="s">
        <v>449</v>
      </c>
    </row>
    <row r="153" customFormat="false" ht="15" hidden="false" customHeight="true" outlineLevel="0" collapsed="false">
      <c r="A153" s="9" t="s">
        <v>447</v>
      </c>
      <c r="B153" s="9" t="s">
        <v>450</v>
      </c>
      <c r="C153" s="9" t="s">
        <v>24</v>
      </c>
      <c r="D153" s="9" t="s">
        <v>38</v>
      </c>
      <c r="E153" s="10" t="n">
        <v>4.98</v>
      </c>
      <c r="F153" s="9" t="n">
        <v>399</v>
      </c>
      <c r="G153" s="11" t="n">
        <v>1092</v>
      </c>
      <c r="H153" s="12" t="n">
        <f aca="false">IF(G153="","",ROUND(G153*(1-Supuestos!$B$3),0))</f>
        <v>764</v>
      </c>
      <c r="I153" s="9"/>
      <c r="J153" s="9"/>
      <c r="K153" s="9"/>
      <c r="L153" s="9"/>
      <c r="M153" s="13" t="s">
        <v>451</v>
      </c>
    </row>
    <row r="154" customFormat="false" ht="15" hidden="false" customHeight="true" outlineLevel="0" collapsed="false">
      <c r="A154" s="9" t="s">
        <v>452</v>
      </c>
      <c r="B154" s="9" t="s">
        <v>453</v>
      </c>
      <c r="C154" s="9" t="s">
        <v>24</v>
      </c>
      <c r="D154" s="9" t="s">
        <v>38</v>
      </c>
      <c r="E154" s="10"/>
      <c r="F154" s="9" t="n">
        <v>0</v>
      </c>
      <c r="G154" s="11" t="n">
        <v>2942</v>
      </c>
      <c r="H154" s="12" t="n">
        <f aca="false">IF(G154="","",ROUND(G154*(1-Supuestos!$B$3),0))</f>
        <v>2059</v>
      </c>
      <c r="I154" s="9"/>
      <c r="J154" s="9"/>
      <c r="K154" s="9"/>
      <c r="L154" s="9"/>
      <c r="M154" s="13" t="s">
        <v>454</v>
      </c>
    </row>
    <row r="155" customFormat="false" ht="15" hidden="false" customHeight="true" outlineLevel="0" collapsed="false">
      <c r="A155" s="9" t="s">
        <v>452</v>
      </c>
      <c r="B155" s="9" t="s">
        <v>455</v>
      </c>
      <c r="C155" s="9" t="s">
        <v>24</v>
      </c>
      <c r="D155" s="9" t="s">
        <v>38</v>
      </c>
      <c r="E155" s="10"/>
      <c r="F155" s="9" t="n">
        <v>0</v>
      </c>
      <c r="G155" s="11" t="n">
        <v>3200</v>
      </c>
      <c r="H155" s="12" t="n">
        <f aca="false">IF(G155="","",ROUND(G155*(1-Supuestos!$B$3),0))</f>
        <v>2240</v>
      </c>
      <c r="I155" s="9"/>
      <c r="J155" s="9"/>
      <c r="K155" s="9"/>
      <c r="L155" s="9"/>
      <c r="M155" s="13" t="s">
        <v>456</v>
      </c>
    </row>
    <row r="156" customFormat="false" ht="15" hidden="false" customHeight="true" outlineLevel="0" collapsed="false">
      <c r="A156" s="9" t="s">
        <v>457</v>
      </c>
      <c r="B156" s="9" t="s">
        <v>458</v>
      </c>
      <c r="C156" s="9" t="s">
        <v>24</v>
      </c>
      <c r="D156" s="9" t="s">
        <v>88</v>
      </c>
      <c r="E156" s="10" t="n">
        <v>4.8</v>
      </c>
      <c r="F156" s="9" t="n">
        <v>2612</v>
      </c>
      <c r="G156" s="11" t="n">
        <v>0</v>
      </c>
      <c r="H156" s="12" t="n">
        <f aca="false">IF(G156="","",ROUND(G156*(1-Supuestos!$B$3),0))</f>
        <v>0</v>
      </c>
      <c r="I156" s="9" t="s">
        <v>459</v>
      </c>
      <c r="J156" s="9" t="s">
        <v>460</v>
      </c>
      <c r="K156" s="9" t="s">
        <v>461</v>
      </c>
      <c r="L156" s="9"/>
      <c r="M156" s="13" t="s">
        <v>462</v>
      </c>
    </row>
    <row r="157" customFormat="false" ht="15" hidden="false" customHeight="true" outlineLevel="0" collapsed="false">
      <c r="A157" s="9" t="s">
        <v>457</v>
      </c>
      <c r="B157" s="9" t="s">
        <v>463</v>
      </c>
      <c r="C157" s="9" t="s">
        <v>24</v>
      </c>
      <c r="D157" s="9" t="s">
        <v>88</v>
      </c>
      <c r="E157" s="10" t="n">
        <v>4.5</v>
      </c>
      <c r="F157" s="9" t="n">
        <v>382</v>
      </c>
      <c r="G157" s="11" t="n">
        <v>0</v>
      </c>
      <c r="H157" s="12" t="n">
        <f aca="false">IF(G157="","",ROUND(G157*(1-Supuestos!$B$3),0))</f>
        <v>0</v>
      </c>
      <c r="I157" s="9" t="s">
        <v>459</v>
      </c>
      <c r="J157" s="9" t="s">
        <v>460</v>
      </c>
      <c r="K157" s="9" t="s">
        <v>461</v>
      </c>
      <c r="L157" s="9"/>
      <c r="M157" s="13" t="s">
        <v>464</v>
      </c>
    </row>
    <row r="158" customFormat="false" ht="15" hidden="false" customHeight="true" outlineLevel="0" collapsed="false">
      <c r="A158" s="9" t="s">
        <v>457</v>
      </c>
      <c r="B158" s="9" t="s">
        <v>465</v>
      </c>
      <c r="C158" s="9" t="s">
        <v>24</v>
      </c>
      <c r="D158" s="9" t="s">
        <v>25</v>
      </c>
      <c r="E158" s="10" t="n">
        <v>4.7</v>
      </c>
      <c r="F158" s="9" t="n">
        <v>203</v>
      </c>
      <c r="G158" s="11" t="n">
        <v>900</v>
      </c>
      <c r="H158" s="12" t="n">
        <f aca="false">IF(G158="","",ROUND(G158*(1-Supuestos!$B$3),0))</f>
        <v>630</v>
      </c>
      <c r="I158" s="9" t="s">
        <v>459</v>
      </c>
      <c r="J158" s="9" t="s">
        <v>460</v>
      </c>
      <c r="K158" s="9" t="s">
        <v>461</v>
      </c>
      <c r="L158" s="9"/>
      <c r="M158" s="13" t="s">
        <v>466</v>
      </c>
    </row>
    <row r="159" customFormat="false" ht="15" hidden="false" customHeight="true" outlineLevel="0" collapsed="false">
      <c r="A159" s="9" t="s">
        <v>467</v>
      </c>
      <c r="B159" s="9" t="s">
        <v>468</v>
      </c>
      <c r="C159" s="9" t="s">
        <v>24</v>
      </c>
      <c r="D159" s="9" t="s">
        <v>25</v>
      </c>
      <c r="E159" s="10"/>
      <c r="F159" s="9" t="n">
        <v>0</v>
      </c>
      <c r="G159" s="11" t="n">
        <v>7684</v>
      </c>
      <c r="H159" s="12" t="n">
        <f aca="false">IF(G159="","",ROUND(G159*(1-Supuestos!$B$3),0))</f>
        <v>5379</v>
      </c>
      <c r="I159" s="9"/>
      <c r="J159" s="9"/>
      <c r="K159" s="9"/>
      <c r="L159" s="9"/>
      <c r="M159" s="13" t="s">
        <v>469</v>
      </c>
    </row>
    <row r="160" customFormat="false" ht="15" hidden="false" customHeight="true" outlineLevel="0" collapsed="false">
      <c r="A160" s="9" t="s">
        <v>467</v>
      </c>
      <c r="B160" s="9" t="s">
        <v>470</v>
      </c>
      <c r="C160" s="9" t="s">
        <v>24</v>
      </c>
      <c r="D160" s="9" t="s">
        <v>25</v>
      </c>
      <c r="E160" s="10"/>
      <c r="F160" s="9" t="n">
        <v>0</v>
      </c>
      <c r="G160" s="11" t="n">
        <v>7684</v>
      </c>
      <c r="H160" s="12" t="n">
        <f aca="false">IF(G160="","",ROUND(G160*(1-Supuestos!$B$3),0))</f>
        <v>5379</v>
      </c>
      <c r="I160" s="9"/>
      <c r="J160" s="9"/>
      <c r="K160" s="9"/>
      <c r="L160" s="9"/>
      <c r="M160" s="13" t="s">
        <v>471</v>
      </c>
    </row>
    <row r="161" customFormat="false" ht="15" hidden="false" customHeight="true" outlineLevel="0" collapsed="false">
      <c r="A161" s="9" t="s">
        <v>472</v>
      </c>
      <c r="B161" s="9" t="s">
        <v>473</v>
      </c>
      <c r="C161" s="9" t="s">
        <v>24</v>
      </c>
      <c r="D161" s="9" t="s">
        <v>50</v>
      </c>
      <c r="E161" s="10"/>
      <c r="F161" s="9" t="n">
        <v>0</v>
      </c>
      <c r="G161" s="11" t="n">
        <v>2555.29</v>
      </c>
      <c r="H161" s="12" t="n">
        <f aca="false">IF(G161="","",ROUND(G161*(1-Supuestos!$B$3),0))</f>
        <v>1789</v>
      </c>
      <c r="I161" s="9"/>
      <c r="J161" s="9"/>
      <c r="K161" s="9"/>
      <c r="L161" s="9"/>
      <c r="M161" s="13" t="s">
        <v>474</v>
      </c>
    </row>
    <row r="162" customFormat="false" ht="15" hidden="false" customHeight="true" outlineLevel="0" collapsed="false">
      <c r="A162" s="9" t="s">
        <v>472</v>
      </c>
      <c r="B162" s="9" t="s">
        <v>475</v>
      </c>
      <c r="C162" s="9" t="s">
        <v>24</v>
      </c>
      <c r="D162" s="9" t="s">
        <v>50</v>
      </c>
      <c r="E162" s="10"/>
      <c r="F162" s="9" t="n">
        <v>0</v>
      </c>
      <c r="G162" s="11" t="n">
        <v>1011.83</v>
      </c>
      <c r="H162" s="12" t="n">
        <f aca="false">IF(G162="","",ROUND(G162*(1-Supuestos!$B$3),0))</f>
        <v>708</v>
      </c>
      <c r="I162" s="9"/>
      <c r="J162" s="9"/>
      <c r="K162" s="9"/>
      <c r="L162" s="9"/>
      <c r="M162" s="13" t="s">
        <v>476</v>
      </c>
    </row>
    <row r="163" customFormat="false" ht="15" hidden="false" customHeight="true" outlineLevel="0" collapsed="false">
      <c r="A163" s="9" t="s">
        <v>477</v>
      </c>
      <c r="B163" s="9" t="s">
        <v>478</v>
      </c>
      <c r="C163" s="9" t="s">
        <v>24</v>
      </c>
      <c r="D163" s="9" t="s">
        <v>25</v>
      </c>
      <c r="E163" s="10"/>
      <c r="F163" s="9" t="n">
        <v>0</v>
      </c>
      <c r="G163" s="11" t="n">
        <v>390</v>
      </c>
      <c r="H163" s="12" t="n">
        <f aca="false">IF(G163="","",ROUND(G163*(1-Supuestos!$B$3),0))</f>
        <v>273</v>
      </c>
      <c r="I163" s="9"/>
      <c r="J163" s="9"/>
      <c r="K163" s="9"/>
      <c r="L163" s="9"/>
      <c r="M163" s="13" t="s">
        <v>479</v>
      </c>
    </row>
    <row r="164" customFormat="false" ht="15" hidden="false" customHeight="true" outlineLevel="0" collapsed="false">
      <c r="A164" s="9" t="s">
        <v>480</v>
      </c>
      <c r="B164" s="9" t="s">
        <v>481</v>
      </c>
      <c r="C164" s="9" t="s">
        <v>24</v>
      </c>
      <c r="D164" s="9" t="s">
        <v>50</v>
      </c>
      <c r="E164" s="10"/>
      <c r="F164" s="9" t="n">
        <v>0</v>
      </c>
      <c r="G164" s="11" t="n">
        <v>1350</v>
      </c>
      <c r="H164" s="12" t="n">
        <f aca="false">IF(G164="","",ROUND(G164*(1-Supuestos!$B$3),0))</f>
        <v>945</v>
      </c>
      <c r="I164" s="9"/>
      <c r="J164" s="9"/>
      <c r="K164" s="9"/>
      <c r="L164" s="9"/>
      <c r="M164" s="13" t="s">
        <v>482</v>
      </c>
    </row>
    <row r="165" customFormat="false" ht="15" hidden="false" customHeight="true" outlineLevel="0" collapsed="false">
      <c r="A165" s="9" t="s">
        <v>483</v>
      </c>
      <c r="B165" s="9" t="s">
        <v>484</v>
      </c>
      <c r="C165" s="9" t="s">
        <v>24</v>
      </c>
      <c r="D165" s="9" t="s">
        <v>38</v>
      </c>
      <c r="E165" s="10" t="n">
        <v>4.99</v>
      </c>
      <c r="F165" s="9" t="n">
        <v>102</v>
      </c>
      <c r="G165" s="11" t="n">
        <v>1202</v>
      </c>
      <c r="H165" s="12" t="n">
        <f aca="false">IF(G165="","",ROUND(G165*(1-Supuestos!$B$3),0))</f>
        <v>841</v>
      </c>
      <c r="I165" s="9"/>
      <c r="J165" s="9"/>
      <c r="K165" s="9"/>
      <c r="L165" s="9"/>
      <c r="M165" s="13" t="s">
        <v>485</v>
      </c>
    </row>
    <row r="166" customFormat="false" ht="15" hidden="false" customHeight="true" outlineLevel="0" collapsed="false">
      <c r="A166" s="9" t="s">
        <v>486</v>
      </c>
      <c r="B166" s="9" t="s">
        <v>487</v>
      </c>
      <c r="C166" s="9" t="s">
        <v>24</v>
      </c>
      <c r="D166" s="9" t="s">
        <v>25</v>
      </c>
      <c r="E166" s="10" t="n">
        <v>5</v>
      </c>
      <c r="F166" s="9" t="n">
        <v>137</v>
      </c>
      <c r="G166" s="11" t="n">
        <v>1558</v>
      </c>
      <c r="H166" s="12" t="n">
        <f aca="false">IF(G166="","",ROUND(G166*(1-Supuestos!$B$3),0))</f>
        <v>1091</v>
      </c>
      <c r="I166" s="9" t="s">
        <v>488</v>
      </c>
      <c r="J166" s="9"/>
      <c r="K166" s="9"/>
      <c r="L166" s="9"/>
      <c r="M166" s="13" t="s">
        <v>489</v>
      </c>
    </row>
    <row r="167" customFormat="false" ht="15" hidden="false" customHeight="true" outlineLevel="0" collapsed="false">
      <c r="A167" s="9" t="s">
        <v>486</v>
      </c>
      <c r="B167" s="9" t="s">
        <v>487</v>
      </c>
      <c r="C167" s="9" t="s">
        <v>24</v>
      </c>
      <c r="D167" s="9" t="s">
        <v>50</v>
      </c>
      <c r="E167" s="10" t="n">
        <v>5</v>
      </c>
      <c r="F167" s="9" t="n">
        <v>9</v>
      </c>
      <c r="G167" s="11" t="n">
        <v>1699</v>
      </c>
      <c r="H167" s="12" t="n">
        <f aca="false">IF(G167="","",ROUND(G167*(1-Supuestos!$B$3),0))</f>
        <v>1189</v>
      </c>
      <c r="I167" s="9" t="s">
        <v>488</v>
      </c>
      <c r="J167" s="9"/>
      <c r="K167" s="9"/>
      <c r="L167" s="9"/>
      <c r="M167" s="13" t="s">
        <v>490</v>
      </c>
    </row>
    <row r="168" customFormat="false" ht="15" hidden="false" customHeight="true" outlineLevel="0" collapsed="false">
      <c r="A168" s="9" t="s">
        <v>486</v>
      </c>
      <c r="B168" s="9" t="s">
        <v>487</v>
      </c>
      <c r="C168" s="9" t="s">
        <v>24</v>
      </c>
      <c r="D168" s="9" t="s">
        <v>38</v>
      </c>
      <c r="E168" s="10" t="n">
        <v>4.5</v>
      </c>
      <c r="F168" s="9" t="n">
        <v>2</v>
      </c>
      <c r="G168" s="11" t="n">
        <v>999</v>
      </c>
      <c r="H168" s="12" t="n">
        <f aca="false">IF(G168="","",ROUND(G168*(1-Supuestos!$B$3),0))</f>
        <v>699</v>
      </c>
      <c r="I168" s="9" t="s">
        <v>488</v>
      </c>
      <c r="J168" s="9"/>
      <c r="K168" s="9"/>
      <c r="L168" s="9"/>
      <c r="M168" s="13" t="s">
        <v>491</v>
      </c>
    </row>
    <row r="169" customFormat="false" ht="15" hidden="false" customHeight="true" outlineLevel="0" collapsed="false">
      <c r="A169" s="9" t="s">
        <v>492</v>
      </c>
      <c r="B169" s="9" t="s">
        <v>493</v>
      </c>
      <c r="C169" s="9" t="s">
        <v>42</v>
      </c>
      <c r="D169" s="9" t="s">
        <v>50</v>
      </c>
      <c r="E169" s="10" t="n">
        <v>5</v>
      </c>
      <c r="F169" s="9" t="n">
        <v>4</v>
      </c>
      <c r="G169" s="11" t="n">
        <v>1400</v>
      </c>
      <c r="H169" s="12" t="n">
        <f aca="false">IF(G169="","",ROUND(G169*(1-Supuestos!$B$3),0))</f>
        <v>980</v>
      </c>
      <c r="I169" s="9" t="s">
        <v>494</v>
      </c>
      <c r="J169" s="9" t="s">
        <v>495</v>
      </c>
      <c r="K169" s="9" t="s">
        <v>496</v>
      </c>
      <c r="L169" s="9" t="s">
        <v>497</v>
      </c>
      <c r="M169" s="13" t="s">
        <v>498</v>
      </c>
    </row>
    <row r="170" customFormat="false" ht="15" hidden="false" customHeight="true" outlineLevel="0" collapsed="false">
      <c r="A170" s="9" t="s">
        <v>492</v>
      </c>
      <c r="B170" s="9" t="s">
        <v>493</v>
      </c>
      <c r="C170" s="9" t="s">
        <v>42</v>
      </c>
      <c r="D170" s="9" t="s">
        <v>25</v>
      </c>
      <c r="E170" s="10" t="n">
        <v>5</v>
      </c>
      <c r="F170" s="9" t="n">
        <v>15</v>
      </c>
      <c r="G170" s="11" t="n">
        <v>1450</v>
      </c>
      <c r="H170" s="12" t="n">
        <f aca="false">IF(G170="","",ROUND(G170*(1-Supuestos!$B$3),0))</f>
        <v>1015</v>
      </c>
      <c r="I170" s="9" t="s">
        <v>494</v>
      </c>
      <c r="J170" s="9" t="s">
        <v>495</v>
      </c>
      <c r="K170" s="9" t="s">
        <v>496</v>
      </c>
      <c r="L170" s="9" t="s">
        <v>497</v>
      </c>
      <c r="M170" s="13" t="s">
        <v>499</v>
      </c>
    </row>
    <row r="171" customFormat="false" ht="15" hidden="false" customHeight="true" outlineLevel="0" collapsed="false">
      <c r="A171" s="9" t="s">
        <v>492</v>
      </c>
      <c r="B171" s="9" t="s">
        <v>500</v>
      </c>
      <c r="C171" s="9" t="s">
        <v>42</v>
      </c>
      <c r="D171" s="9" t="s">
        <v>38</v>
      </c>
      <c r="E171" s="10" t="n">
        <v>4.99</v>
      </c>
      <c r="F171" s="9" t="n">
        <v>347</v>
      </c>
      <c r="G171" s="11" t="n">
        <v>1572</v>
      </c>
      <c r="H171" s="12" t="n">
        <f aca="false">IF(G171="","",ROUND(G171*(1-Supuestos!$B$3),0))</f>
        <v>1100</v>
      </c>
      <c r="I171" s="9" t="s">
        <v>494</v>
      </c>
      <c r="J171" s="9" t="s">
        <v>495</v>
      </c>
      <c r="K171" s="9" t="s">
        <v>496</v>
      </c>
      <c r="L171" s="9" t="s">
        <v>497</v>
      </c>
      <c r="M171" s="13" t="s">
        <v>501</v>
      </c>
    </row>
    <row r="172" customFormat="false" ht="15" hidden="false" customHeight="true" outlineLevel="0" collapsed="false">
      <c r="A172" s="9" t="s">
        <v>492</v>
      </c>
      <c r="B172" s="9" t="s">
        <v>502</v>
      </c>
      <c r="C172" s="9" t="s">
        <v>42</v>
      </c>
      <c r="D172" s="9" t="s">
        <v>25</v>
      </c>
      <c r="E172" s="10" t="n">
        <v>5</v>
      </c>
      <c r="F172" s="9" t="n">
        <v>198</v>
      </c>
      <c r="G172" s="11" t="n">
        <v>1550</v>
      </c>
      <c r="H172" s="12" t="n">
        <f aca="false">IF(G172="","",ROUND(G172*(1-Supuestos!$B$3),0))</f>
        <v>1085</v>
      </c>
      <c r="I172" s="9" t="s">
        <v>494</v>
      </c>
      <c r="J172" s="9" t="s">
        <v>495</v>
      </c>
      <c r="K172" s="9" t="s">
        <v>496</v>
      </c>
      <c r="L172" s="9" t="s">
        <v>497</v>
      </c>
      <c r="M172" s="13" t="s">
        <v>503</v>
      </c>
    </row>
    <row r="173" customFormat="false" ht="15" hidden="false" customHeight="true" outlineLevel="0" collapsed="false">
      <c r="A173" s="9" t="s">
        <v>492</v>
      </c>
      <c r="B173" s="9" t="s">
        <v>502</v>
      </c>
      <c r="C173" s="9" t="s">
        <v>42</v>
      </c>
      <c r="D173" s="9" t="s">
        <v>50</v>
      </c>
      <c r="E173" s="10" t="n">
        <v>5</v>
      </c>
      <c r="F173" s="9" t="n">
        <v>22</v>
      </c>
      <c r="G173" s="11" t="n">
        <v>1450</v>
      </c>
      <c r="H173" s="12" t="n">
        <f aca="false">IF(G173="","",ROUND(G173*(1-Supuestos!$B$3),0))</f>
        <v>1015</v>
      </c>
      <c r="I173" s="9" t="s">
        <v>494</v>
      </c>
      <c r="J173" s="9" t="s">
        <v>495</v>
      </c>
      <c r="K173" s="9" t="s">
        <v>496</v>
      </c>
      <c r="L173" s="9" t="s">
        <v>497</v>
      </c>
      <c r="M173" s="13" t="s">
        <v>504</v>
      </c>
    </row>
    <row r="174" customFormat="false" ht="15" hidden="false" customHeight="true" outlineLevel="0" collapsed="false">
      <c r="A174" s="9" t="s">
        <v>492</v>
      </c>
      <c r="B174" s="9" t="s">
        <v>505</v>
      </c>
      <c r="C174" s="9" t="s">
        <v>42</v>
      </c>
      <c r="D174" s="9" t="s">
        <v>38</v>
      </c>
      <c r="E174" s="10" t="n">
        <v>5</v>
      </c>
      <c r="F174" s="9" t="n">
        <v>2</v>
      </c>
      <c r="G174" s="11" t="n">
        <v>1517</v>
      </c>
      <c r="H174" s="12" t="n">
        <f aca="false">IF(G174="","",ROUND(G174*(1-Supuestos!$B$3),0))</f>
        <v>1062</v>
      </c>
      <c r="I174" s="9" t="s">
        <v>494</v>
      </c>
      <c r="J174" s="9" t="s">
        <v>495</v>
      </c>
      <c r="K174" s="9" t="s">
        <v>496</v>
      </c>
      <c r="L174" s="9" t="s">
        <v>497</v>
      </c>
      <c r="M174" s="13" t="s">
        <v>506</v>
      </c>
    </row>
    <row r="175" customFormat="false" ht="15" hidden="false" customHeight="true" outlineLevel="0" collapsed="false">
      <c r="A175" s="9" t="s">
        <v>492</v>
      </c>
      <c r="B175" s="9" t="s">
        <v>505</v>
      </c>
      <c r="C175" s="9" t="s">
        <v>42</v>
      </c>
      <c r="D175" s="9" t="s">
        <v>25</v>
      </c>
      <c r="E175" s="10" t="n">
        <v>5</v>
      </c>
      <c r="F175" s="9" t="n">
        <v>145</v>
      </c>
      <c r="G175" s="11" t="n">
        <v>1940</v>
      </c>
      <c r="H175" s="12" t="n">
        <f aca="false">IF(G175="","",ROUND(G175*(1-Supuestos!$B$3),0))</f>
        <v>1358</v>
      </c>
      <c r="I175" s="9" t="s">
        <v>494</v>
      </c>
      <c r="J175" s="9" t="s">
        <v>495</v>
      </c>
      <c r="K175" s="9" t="s">
        <v>496</v>
      </c>
      <c r="L175" s="9" t="s">
        <v>497</v>
      </c>
      <c r="M175" s="13" t="s">
        <v>507</v>
      </c>
    </row>
    <row r="176" customFormat="false" ht="15" hidden="false" customHeight="true" outlineLevel="0" collapsed="false">
      <c r="A176" s="9" t="s">
        <v>492</v>
      </c>
      <c r="B176" s="9" t="s">
        <v>508</v>
      </c>
      <c r="C176" s="9" t="s">
        <v>42</v>
      </c>
      <c r="D176" s="9" t="s">
        <v>38</v>
      </c>
      <c r="E176" s="10" t="n">
        <v>4.98</v>
      </c>
      <c r="F176" s="9" t="n">
        <v>253</v>
      </c>
      <c r="G176" s="11" t="n">
        <v>1480</v>
      </c>
      <c r="H176" s="12" t="n">
        <f aca="false">IF(G176="","",ROUND(G176*(1-Supuestos!$B$3),0))</f>
        <v>1036</v>
      </c>
      <c r="I176" s="9" t="s">
        <v>494</v>
      </c>
      <c r="J176" s="9" t="s">
        <v>495</v>
      </c>
      <c r="K176" s="9" t="s">
        <v>496</v>
      </c>
      <c r="L176" s="9" t="s">
        <v>497</v>
      </c>
      <c r="M176" s="13" t="s">
        <v>509</v>
      </c>
    </row>
    <row r="177" customFormat="false" ht="15" hidden="false" customHeight="true" outlineLevel="0" collapsed="false">
      <c r="A177" s="9" t="s">
        <v>492</v>
      </c>
      <c r="B177" s="9" t="s">
        <v>508</v>
      </c>
      <c r="C177" s="9" t="s">
        <v>42</v>
      </c>
      <c r="D177" s="9" t="s">
        <v>50</v>
      </c>
      <c r="E177" s="10" t="n">
        <v>4.75</v>
      </c>
      <c r="F177" s="9" t="n">
        <v>5</v>
      </c>
      <c r="G177" s="11" t="n">
        <v>1290</v>
      </c>
      <c r="H177" s="12" t="n">
        <f aca="false">IF(G177="","",ROUND(G177*(1-Supuestos!$B$3),0))</f>
        <v>903</v>
      </c>
      <c r="I177" s="9" t="s">
        <v>494</v>
      </c>
      <c r="J177" s="9" t="s">
        <v>495</v>
      </c>
      <c r="K177" s="9" t="s">
        <v>496</v>
      </c>
      <c r="L177" s="9" t="s">
        <v>497</v>
      </c>
      <c r="M177" s="13" t="s">
        <v>510</v>
      </c>
    </row>
    <row r="178" customFormat="false" ht="15" hidden="false" customHeight="true" outlineLevel="0" collapsed="false">
      <c r="A178" s="9" t="s">
        <v>492</v>
      </c>
      <c r="B178" s="9" t="s">
        <v>508</v>
      </c>
      <c r="C178" s="9" t="s">
        <v>42</v>
      </c>
      <c r="D178" s="9" t="s">
        <v>25</v>
      </c>
      <c r="E178" s="10" t="n">
        <v>4.8</v>
      </c>
      <c r="F178" s="9" t="n">
        <v>26</v>
      </c>
      <c r="G178" s="11" t="n">
        <v>1450</v>
      </c>
      <c r="H178" s="12" t="n">
        <f aca="false">IF(G178="","",ROUND(G178*(1-Supuestos!$B$3),0))</f>
        <v>1015</v>
      </c>
      <c r="I178" s="9" t="s">
        <v>494</v>
      </c>
      <c r="J178" s="9" t="s">
        <v>495</v>
      </c>
      <c r="K178" s="9" t="s">
        <v>496</v>
      </c>
      <c r="L178" s="9" t="s">
        <v>497</v>
      </c>
      <c r="M178" s="13" t="s">
        <v>511</v>
      </c>
    </row>
    <row r="179" customFormat="false" ht="15" hidden="false" customHeight="true" outlineLevel="0" collapsed="false">
      <c r="A179" s="9" t="s">
        <v>512</v>
      </c>
      <c r="B179" s="9" t="s">
        <v>513</v>
      </c>
      <c r="C179" s="9" t="s">
        <v>24</v>
      </c>
      <c r="D179" s="9" t="s">
        <v>50</v>
      </c>
      <c r="E179" s="10" t="n">
        <v>5</v>
      </c>
      <c r="F179" s="9" t="n">
        <v>22</v>
      </c>
      <c r="G179" s="11" t="n">
        <v>455.26</v>
      </c>
      <c r="H179" s="12" t="n">
        <f aca="false">IF(G179="","",ROUND(G179*(1-Supuestos!$B$3),0))</f>
        <v>319</v>
      </c>
      <c r="I179" s="9" t="s">
        <v>514</v>
      </c>
      <c r="J179" s="9"/>
      <c r="K179" s="9" t="s">
        <v>515</v>
      </c>
      <c r="L179" s="9"/>
      <c r="M179" s="13" t="s">
        <v>516</v>
      </c>
    </row>
    <row r="180" customFormat="false" ht="15" hidden="false" customHeight="true" outlineLevel="0" collapsed="false">
      <c r="A180" s="9" t="s">
        <v>517</v>
      </c>
      <c r="B180" s="9" t="s">
        <v>518</v>
      </c>
      <c r="C180" s="9" t="s">
        <v>24</v>
      </c>
      <c r="D180" s="9" t="s">
        <v>88</v>
      </c>
      <c r="E180" s="10"/>
      <c r="F180" s="9" t="n">
        <v>0</v>
      </c>
      <c r="G180" s="11" t="n">
        <v>166</v>
      </c>
      <c r="H180" s="12" t="n">
        <f aca="false">IF(G180="","",ROUND(G180*(1-Supuestos!$B$3),0))</f>
        <v>116</v>
      </c>
      <c r="I180" s="9" t="s">
        <v>519</v>
      </c>
      <c r="J180" s="9" t="s">
        <v>520</v>
      </c>
      <c r="K180" s="9" t="s">
        <v>521</v>
      </c>
      <c r="L180" s="9" t="s">
        <v>522</v>
      </c>
      <c r="M180" s="13" t="s">
        <v>523</v>
      </c>
    </row>
    <row r="181" customFormat="false" ht="15" hidden="false" customHeight="true" outlineLevel="0" collapsed="false">
      <c r="A181" s="9" t="s">
        <v>517</v>
      </c>
      <c r="B181" s="9" t="s">
        <v>524</v>
      </c>
      <c r="C181" s="9" t="s">
        <v>24</v>
      </c>
      <c r="D181" s="9" t="s">
        <v>25</v>
      </c>
      <c r="E181" s="10" t="n">
        <v>4.9</v>
      </c>
      <c r="F181" s="9" t="n">
        <v>14</v>
      </c>
      <c r="G181" s="11" t="n">
        <v>595</v>
      </c>
      <c r="H181" s="12" t="n">
        <f aca="false">IF(G181="","",ROUND(G181*(1-Supuestos!$B$3),0))</f>
        <v>417</v>
      </c>
      <c r="I181" s="9" t="s">
        <v>519</v>
      </c>
      <c r="J181" s="9" t="s">
        <v>520</v>
      </c>
      <c r="K181" s="9" t="s">
        <v>521</v>
      </c>
      <c r="L181" s="9" t="s">
        <v>522</v>
      </c>
      <c r="M181" s="13" t="s">
        <v>525</v>
      </c>
    </row>
    <row r="182" customFormat="false" ht="15" hidden="false" customHeight="true" outlineLevel="0" collapsed="false">
      <c r="A182" s="9" t="s">
        <v>517</v>
      </c>
      <c r="B182" s="9" t="s">
        <v>526</v>
      </c>
      <c r="C182" s="9" t="s">
        <v>24</v>
      </c>
      <c r="D182" s="9" t="s">
        <v>88</v>
      </c>
      <c r="E182" s="10" t="n">
        <v>4.8</v>
      </c>
      <c r="F182" s="9" t="n">
        <v>86</v>
      </c>
      <c r="G182" s="11" t="n">
        <v>333</v>
      </c>
      <c r="H182" s="12" t="n">
        <f aca="false">IF(G182="","",ROUND(G182*(1-Supuestos!$B$3),0))</f>
        <v>233</v>
      </c>
      <c r="I182" s="9" t="s">
        <v>519</v>
      </c>
      <c r="J182" s="9" t="s">
        <v>520</v>
      </c>
      <c r="K182" s="9" t="s">
        <v>521</v>
      </c>
      <c r="L182" s="9" t="s">
        <v>522</v>
      </c>
      <c r="M182" s="13" t="s">
        <v>527</v>
      </c>
    </row>
    <row r="183" customFormat="false" ht="15" hidden="false" customHeight="true" outlineLevel="0" collapsed="false">
      <c r="A183" s="9" t="s">
        <v>517</v>
      </c>
      <c r="B183" s="9" t="s">
        <v>528</v>
      </c>
      <c r="C183" s="9" t="s">
        <v>24</v>
      </c>
      <c r="D183" s="9" t="s">
        <v>25</v>
      </c>
      <c r="E183" s="10" t="n">
        <v>4.7</v>
      </c>
      <c r="F183" s="9" t="n">
        <v>11</v>
      </c>
      <c r="G183" s="11" t="n">
        <v>595</v>
      </c>
      <c r="H183" s="12" t="n">
        <f aca="false">IF(G183="","",ROUND(G183*(1-Supuestos!$B$3),0))</f>
        <v>417</v>
      </c>
      <c r="I183" s="9" t="s">
        <v>519</v>
      </c>
      <c r="J183" s="9" t="s">
        <v>520</v>
      </c>
      <c r="K183" s="9" t="s">
        <v>521</v>
      </c>
      <c r="L183" s="9" t="s">
        <v>522</v>
      </c>
      <c r="M183" s="13" t="s">
        <v>529</v>
      </c>
    </row>
    <row r="184" customFormat="false" ht="15" hidden="false" customHeight="true" outlineLevel="0" collapsed="false">
      <c r="A184" s="9" t="s">
        <v>517</v>
      </c>
      <c r="B184" s="9" t="s">
        <v>530</v>
      </c>
      <c r="C184" s="9" t="s">
        <v>24</v>
      </c>
      <c r="D184" s="9" t="s">
        <v>25</v>
      </c>
      <c r="E184" s="10" t="n">
        <v>5</v>
      </c>
      <c r="F184" s="9" t="n">
        <v>6</v>
      </c>
      <c r="G184" s="11" t="n">
        <v>1033</v>
      </c>
      <c r="H184" s="12" t="n">
        <f aca="false">IF(G184="","",ROUND(G184*(1-Supuestos!$B$3),0))</f>
        <v>723</v>
      </c>
      <c r="I184" s="9" t="s">
        <v>519</v>
      </c>
      <c r="J184" s="9" t="s">
        <v>520</v>
      </c>
      <c r="K184" s="9" t="s">
        <v>521</v>
      </c>
      <c r="L184" s="9" t="s">
        <v>522</v>
      </c>
      <c r="M184" s="13" t="s">
        <v>531</v>
      </c>
    </row>
    <row r="185" customFormat="false" ht="15" hidden="false" customHeight="true" outlineLevel="0" collapsed="false">
      <c r="A185" s="9" t="s">
        <v>532</v>
      </c>
      <c r="B185" s="9" t="s">
        <v>533</v>
      </c>
      <c r="C185" s="9" t="s">
        <v>42</v>
      </c>
      <c r="D185" s="9" t="s">
        <v>25</v>
      </c>
      <c r="E185" s="10" t="n">
        <v>4.9</v>
      </c>
      <c r="F185" s="9" t="n">
        <v>8</v>
      </c>
      <c r="G185" s="11" t="n">
        <v>1800</v>
      </c>
      <c r="H185" s="12" t="n">
        <f aca="false">IF(G185="","",ROUND(G185*(1-Supuestos!$B$3),0))</f>
        <v>1260</v>
      </c>
      <c r="I185" s="9" t="s">
        <v>534</v>
      </c>
      <c r="J185" s="9" t="s">
        <v>535</v>
      </c>
      <c r="K185" s="9" t="s">
        <v>536</v>
      </c>
      <c r="L185" s="9" t="s">
        <v>537</v>
      </c>
      <c r="M185" s="13" t="s">
        <v>538</v>
      </c>
    </row>
    <row r="186" customFormat="false" ht="15" hidden="false" customHeight="true" outlineLevel="0" collapsed="false">
      <c r="A186" s="9" t="s">
        <v>532</v>
      </c>
      <c r="B186" s="9" t="s">
        <v>539</v>
      </c>
      <c r="C186" s="9" t="s">
        <v>24</v>
      </c>
      <c r="D186" s="9" t="s">
        <v>25</v>
      </c>
      <c r="E186" s="10" t="n">
        <v>5</v>
      </c>
      <c r="F186" s="9" t="n">
        <v>15</v>
      </c>
      <c r="G186" s="11" t="n">
        <v>1899</v>
      </c>
      <c r="H186" s="12" t="n">
        <f aca="false">IF(G186="","",ROUND(G186*(1-Supuestos!$B$3),0))</f>
        <v>1329</v>
      </c>
      <c r="I186" s="9" t="s">
        <v>534</v>
      </c>
      <c r="J186" s="9" t="s">
        <v>535</v>
      </c>
      <c r="K186" s="9" t="s">
        <v>536</v>
      </c>
      <c r="L186" s="9" t="s">
        <v>537</v>
      </c>
      <c r="M186" s="13" t="s">
        <v>540</v>
      </c>
    </row>
    <row r="187" customFormat="false" ht="15" hidden="false" customHeight="true" outlineLevel="0" collapsed="false">
      <c r="A187" s="9" t="s">
        <v>541</v>
      </c>
      <c r="B187" s="9" t="s">
        <v>542</v>
      </c>
      <c r="C187" s="9" t="s">
        <v>42</v>
      </c>
      <c r="D187" s="9" t="s">
        <v>50</v>
      </c>
      <c r="E187" s="10"/>
      <c r="F187" s="9" t="n">
        <v>0</v>
      </c>
      <c r="G187" s="11" t="n">
        <v>25724.41</v>
      </c>
      <c r="H187" s="12" t="n">
        <f aca="false">IF(G187="","",ROUND(G187*(1-Supuestos!$B$3),0))</f>
        <v>18007</v>
      </c>
      <c r="I187" s="9" t="s">
        <v>543</v>
      </c>
      <c r="J187" s="9"/>
      <c r="K187" s="9"/>
      <c r="L187" s="9"/>
      <c r="M187" s="13" t="s">
        <v>544</v>
      </c>
    </row>
    <row r="188" customFormat="false" ht="15" hidden="false" customHeight="true" outlineLevel="0" collapsed="false">
      <c r="A188" s="9" t="s">
        <v>541</v>
      </c>
      <c r="B188" s="9" t="s">
        <v>542</v>
      </c>
      <c r="C188" s="9" t="s">
        <v>42</v>
      </c>
      <c r="D188" s="9" t="s">
        <v>25</v>
      </c>
      <c r="E188" s="10" t="n">
        <v>5</v>
      </c>
      <c r="F188" s="9" t="n">
        <v>20</v>
      </c>
      <c r="G188" s="11" t="n">
        <v>1365</v>
      </c>
      <c r="H188" s="12" t="n">
        <f aca="false">IF(G188="","",ROUND(G188*(1-Supuestos!$B$3),0))</f>
        <v>955</v>
      </c>
      <c r="I188" s="9" t="s">
        <v>543</v>
      </c>
      <c r="J188" s="9"/>
      <c r="K188" s="9"/>
      <c r="L188" s="9"/>
      <c r="M188" s="13" t="s">
        <v>545</v>
      </c>
    </row>
    <row r="189" customFormat="false" ht="15" hidden="false" customHeight="true" outlineLevel="0" collapsed="false">
      <c r="A189" s="9" t="s">
        <v>546</v>
      </c>
      <c r="B189" s="9" t="s">
        <v>547</v>
      </c>
      <c r="C189" s="9" t="s">
        <v>24</v>
      </c>
      <c r="D189" s="9" t="s">
        <v>38</v>
      </c>
      <c r="E189" s="10" t="n">
        <v>5</v>
      </c>
      <c r="F189" s="9" t="n">
        <v>16</v>
      </c>
      <c r="G189" s="11" t="n">
        <v>1720</v>
      </c>
      <c r="H189" s="12" t="n">
        <f aca="false">IF(G189="","",ROUND(G189*(1-Supuestos!$B$3),0))</f>
        <v>1204</v>
      </c>
      <c r="I189" s="9" t="s">
        <v>548</v>
      </c>
      <c r="J189" s="9" t="s">
        <v>549</v>
      </c>
      <c r="K189" s="9"/>
      <c r="L189" s="9" t="s">
        <v>550</v>
      </c>
      <c r="M189" s="13" t="s">
        <v>551</v>
      </c>
    </row>
    <row r="190" customFormat="false" ht="15" hidden="false" customHeight="true" outlineLevel="0" collapsed="false">
      <c r="A190" s="9" t="s">
        <v>552</v>
      </c>
      <c r="B190" s="9" t="s">
        <v>553</v>
      </c>
      <c r="C190" s="9" t="s">
        <v>24</v>
      </c>
      <c r="D190" s="9" t="s">
        <v>38</v>
      </c>
      <c r="E190" s="10" t="n">
        <v>4.94</v>
      </c>
      <c r="F190" s="9" t="n">
        <v>80</v>
      </c>
      <c r="G190" s="11" t="n">
        <v>1202</v>
      </c>
      <c r="H190" s="12" t="n">
        <f aca="false">IF(G190="","",ROUND(G190*(1-Supuestos!$B$3),0))</f>
        <v>841</v>
      </c>
      <c r="I190" s="9" t="s">
        <v>554</v>
      </c>
      <c r="J190" s="9"/>
      <c r="K190" s="9" t="s">
        <v>555</v>
      </c>
      <c r="L190" s="9"/>
      <c r="M190" s="13" t="s">
        <v>556</v>
      </c>
    </row>
    <row r="191" customFormat="false" ht="15" hidden="false" customHeight="true" outlineLevel="0" collapsed="false">
      <c r="A191" s="9" t="s">
        <v>557</v>
      </c>
      <c r="B191" s="9" t="s">
        <v>558</v>
      </c>
      <c r="C191" s="9" t="s">
        <v>24</v>
      </c>
      <c r="D191" s="9" t="s">
        <v>38</v>
      </c>
      <c r="E191" s="10" t="n">
        <v>5</v>
      </c>
      <c r="F191" s="9" t="n">
        <v>26</v>
      </c>
      <c r="G191" s="11" t="n">
        <v>851</v>
      </c>
      <c r="H191" s="12" t="n">
        <f aca="false">IF(G191="","",ROUND(G191*(1-Supuestos!$B$3),0))</f>
        <v>596</v>
      </c>
      <c r="I191" s="9" t="s">
        <v>559</v>
      </c>
      <c r="J191" s="9" t="s">
        <v>560</v>
      </c>
      <c r="K191" s="9" t="s">
        <v>561</v>
      </c>
      <c r="L191" s="9"/>
      <c r="M191" s="13" t="s">
        <v>562</v>
      </c>
    </row>
    <row r="192" customFormat="false" ht="15" hidden="false" customHeight="true" outlineLevel="0" collapsed="false">
      <c r="A192" s="9" t="s">
        <v>563</v>
      </c>
      <c r="B192" s="9" t="s">
        <v>564</v>
      </c>
      <c r="C192" s="9" t="s">
        <v>24</v>
      </c>
      <c r="D192" s="9" t="s">
        <v>25</v>
      </c>
      <c r="E192" s="10" t="n">
        <v>4.7</v>
      </c>
      <c r="F192" s="9" t="n">
        <v>12</v>
      </c>
      <c r="G192" s="11" t="n">
        <v>1246</v>
      </c>
      <c r="H192" s="12" t="n">
        <f aca="false">IF(G192="","",ROUND(G192*(1-Supuestos!$B$3),0))</f>
        <v>872</v>
      </c>
      <c r="I192" s="9"/>
      <c r="J192" s="9"/>
      <c r="K192" s="9"/>
      <c r="L192" s="9"/>
      <c r="M192" s="13" t="s">
        <v>565</v>
      </c>
    </row>
    <row r="193" customFormat="false" ht="15" hidden="false" customHeight="true" outlineLevel="0" collapsed="false">
      <c r="A193" s="9" t="s">
        <v>566</v>
      </c>
      <c r="B193" s="9" t="s">
        <v>567</v>
      </c>
      <c r="C193" s="9" t="s">
        <v>46</v>
      </c>
      <c r="D193" s="9" t="s">
        <v>50</v>
      </c>
      <c r="E193" s="10" t="n">
        <v>1</v>
      </c>
      <c r="F193" s="9" t="n">
        <v>1</v>
      </c>
      <c r="G193" s="11" t="n">
        <v>1212.48</v>
      </c>
      <c r="H193" s="12" t="n">
        <f aca="false">IF(G193="","",ROUND(G193*(1-Supuestos!$B$3),0))</f>
        <v>849</v>
      </c>
      <c r="I193" s="9" t="s">
        <v>568</v>
      </c>
      <c r="J193" s="9" t="s">
        <v>569</v>
      </c>
      <c r="K193" s="9" t="s">
        <v>570</v>
      </c>
      <c r="L193" s="9"/>
      <c r="M193" s="13" t="s">
        <v>571</v>
      </c>
    </row>
    <row r="194" customFormat="false" ht="15" hidden="false" customHeight="true" outlineLevel="0" collapsed="false">
      <c r="A194" s="9" t="s">
        <v>566</v>
      </c>
      <c r="B194" s="9" t="s">
        <v>572</v>
      </c>
      <c r="C194" s="9" t="s">
        <v>24</v>
      </c>
      <c r="D194" s="9" t="s">
        <v>88</v>
      </c>
      <c r="E194" s="10" t="n">
        <v>5</v>
      </c>
      <c r="F194" s="9" t="n">
        <v>1</v>
      </c>
      <c r="G194" s="11" t="n">
        <v>3663</v>
      </c>
      <c r="H194" s="12" t="n">
        <f aca="false">IF(G194="","",ROUND(G194*(1-Supuestos!$B$3),0))</f>
        <v>2564</v>
      </c>
      <c r="I194" s="9" t="s">
        <v>568</v>
      </c>
      <c r="J194" s="9" t="s">
        <v>569</v>
      </c>
      <c r="K194" s="9" t="s">
        <v>570</v>
      </c>
      <c r="L194" s="9"/>
      <c r="M194" s="13" t="s">
        <v>573</v>
      </c>
    </row>
    <row r="195" customFormat="false" ht="15" hidden="false" customHeight="true" outlineLevel="0" collapsed="false">
      <c r="A195" s="9" t="s">
        <v>574</v>
      </c>
      <c r="B195" s="9" t="s">
        <v>575</v>
      </c>
      <c r="C195" s="9" t="s">
        <v>24</v>
      </c>
      <c r="D195" s="9" t="s">
        <v>38</v>
      </c>
      <c r="E195" s="10"/>
      <c r="F195" s="9" t="n">
        <v>0</v>
      </c>
      <c r="G195" s="11" t="n">
        <v>1628</v>
      </c>
      <c r="H195" s="12" t="n">
        <f aca="false">IF(G195="","",ROUND(G195*(1-Supuestos!$B$3),0))</f>
        <v>1140</v>
      </c>
      <c r="I195" s="9"/>
      <c r="J195" s="9"/>
      <c r="K195" s="9"/>
      <c r="L195" s="9"/>
      <c r="M195" s="13" t="s">
        <v>576</v>
      </c>
    </row>
    <row r="196" customFormat="false" ht="15" hidden="false" customHeight="true" outlineLevel="0" collapsed="false">
      <c r="A196" s="9" t="s">
        <v>577</v>
      </c>
      <c r="B196" s="9" t="s">
        <v>578</v>
      </c>
      <c r="C196" s="9" t="s">
        <v>24</v>
      </c>
      <c r="D196" s="9" t="s">
        <v>25</v>
      </c>
      <c r="E196" s="10"/>
      <c r="F196" s="9" t="n">
        <v>0</v>
      </c>
      <c r="G196" s="11" t="n">
        <v>1880</v>
      </c>
      <c r="H196" s="12" t="n">
        <f aca="false">IF(G196="","",ROUND(G196*(1-Supuestos!$B$3),0))</f>
        <v>1316</v>
      </c>
      <c r="I196" s="9" t="s">
        <v>579</v>
      </c>
      <c r="J196" s="9" t="s">
        <v>580</v>
      </c>
      <c r="K196" s="9" t="s">
        <v>581</v>
      </c>
      <c r="L196" s="9"/>
      <c r="M196" s="13" t="s">
        <v>582</v>
      </c>
    </row>
    <row r="197" customFormat="false" ht="15" hidden="false" customHeight="true" outlineLevel="0" collapsed="false">
      <c r="A197" s="9" t="s">
        <v>583</v>
      </c>
      <c r="B197" s="9" t="s">
        <v>584</v>
      </c>
      <c r="C197" s="9" t="s">
        <v>24</v>
      </c>
      <c r="D197" s="9" t="s">
        <v>50</v>
      </c>
      <c r="E197" s="10"/>
      <c r="F197" s="9" t="n">
        <v>0</v>
      </c>
      <c r="G197" s="11" t="n">
        <v>792</v>
      </c>
      <c r="H197" s="12" t="n">
        <f aca="false">IF(G197="","",ROUND(G197*(1-Supuestos!$B$3),0))</f>
        <v>554</v>
      </c>
      <c r="I197" s="9"/>
      <c r="J197" s="9"/>
      <c r="K197" s="9"/>
      <c r="L197" s="9"/>
      <c r="M197" s="13" t="s">
        <v>585</v>
      </c>
    </row>
    <row r="198" customFormat="false" ht="15" hidden="false" customHeight="true" outlineLevel="0" collapsed="false">
      <c r="A198" s="9" t="s">
        <v>583</v>
      </c>
      <c r="B198" s="9" t="s">
        <v>586</v>
      </c>
      <c r="C198" s="9" t="s">
        <v>24</v>
      </c>
      <c r="D198" s="9" t="s">
        <v>50</v>
      </c>
      <c r="E198" s="10" t="n">
        <v>5</v>
      </c>
      <c r="F198" s="9" t="n">
        <v>4</v>
      </c>
      <c r="G198" s="11" t="n">
        <v>760</v>
      </c>
      <c r="H198" s="12" t="n">
        <f aca="false">IF(G198="","",ROUND(G198*(1-Supuestos!$B$3),0))</f>
        <v>532</v>
      </c>
      <c r="I198" s="9"/>
      <c r="J198" s="9"/>
      <c r="K198" s="9"/>
      <c r="L198" s="9"/>
      <c r="M198" s="13" t="s">
        <v>587</v>
      </c>
    </row>
    <row r="199" customFormat="false" ht="15" hidden="false" customHeight="true" outlineLevel="0" collapsed="false">
      <c r="A199" s="9" t="s">
        <v>588</v>
      </c>
      <c r="B199" s="9" t="s">
        <v>589</v>
      </c>
      <c r="C199" s="9" t="s">
        <v>24</v>
      </c>
      <c r="D199" s="9" t="s">
        <v>50</v>
      </c>
      <c r="E199" s="10"/>
      <c r="F199" s="9" t="n">
        <v>0</v>
      </c>
      <c r="G199" s="11" t="n">
        <v>650</v>
      </c>
      <c r="H199" s="12" t="n">
        <f aca="false">IF(G199="","",ROUND(G199*(1-Supuestos!$B$3),0))</f>
        <v>455</v>
      </c>
      <c r="I199" s="9"/>
      <c r="J199" s="9"/>
      <c r="K199" s="9"/>
      <c r="L199" s="9"/>
      <c r="M199" s="13" t="s">
        <v>590</v>
      </c>
    </row>
    <row r="200" customFormat="false" ht="15" hidden="false" customHeight="true" outlineLevel="0" collapsed="false">
      <c r="A200" s="9" t="s">
        <v>588</v>
      </c>
      <c r="B200" s="9" t="s">
        <v>591</v>
      </c>
      <c r="C200" s="9" t="s">
        <v>24</v>
      </c>
      <c r="D200" s="9" t="s">
        <v>25</v>
      </c>
      <c r="E200" s="10"/>
      <c r="F200" s="9" t="n">
        <v>0</v>
      </c>
      <c r="G200" s="11" t="n">
        <v>800</v>
      </c>
      <c r="H200" s="12" t="n">
        <f aca="false">IF(G200="","",ROUND(G200*(1-Supuestos!$B$3),0))</f>
        <v>560</v>
      </c>
      <c r="I200" s="9"/>
      <c r="J200" s="9"/>
      <c r="K200" s="9"/>
      <c r="L200" s="9"/>
      <c r="M200" s="13" t="s">
        <v>592</v>
      </c>
    </row>
    <row r="201" customFormat="false" ht="15" hidden="false" customHeight="true" outlineLevel="0" collapsed="false">
      <c r="A201" s="9" t="s">
        <v>593</v>
      </c>
      <c r="B201" s="9" t="s">
        <v>594</v>
      </c>
      <c r="C201" s="9" t="s">
        <v>24</v>
      </c>
      <c r="D201" s="9" t="s">
        <v>38</v>
      </c>
      <c r="E201" s="10" t="n">
        <v>5</v>
      </c>
      <c r="F201" s="9" t="n">
        <v>7</v>
      </c>
      <c r="G201" s="11" t="n">
        <v>1628</v>
      </c>
      <c r="H201" s="12" t="n">
        <f aca="false">IF(G201="","",ROUND(G201*(1-Supuestos!$B$3),0))</f>
        <v>1140</v>
      </c>
      <c r="I201" s="9"/>
      <c r="J201" s="9"/>
      <c r="K201" s="9"/>
      <c r="L201" s="9"/>
      <c r="M201" s="13" t="s">
        <v>595</v>
      </c>
    </row>
    <row r="202" customFormat="false" ht="15" hidden="false" customHeight="true" outlineLevel="0" collapsed="false">
      <c r="A202" s="9" t="s">
        <v>596</v>
      </c>
      <c r="B202" s="9" t="s">
        <v>597</v>
      </c>
      <c r="C202" s="9" t="s">
        <v>24</v>
      </c>
      <c r="D202" s="9" t="s">
        <v>25</v>
      </c>
      <c r="E202" s="10" t="n">
        <v>4.7</v>
      </c>
      <c r="F202" s="9" t="n">
        <v>15</v>
      </c>
      <c r="G202" s="11" t="n">
        <v>500</v>
      </c>
      <c r="H202" s="12" t="n">
        <f aca="false">IF(G202="","",ROUND(G202*(1-Supuestos!$B$3),0))</f>
        <v>350</v>
      </c>
      <c r="I202" s="9" t="s">
        <v>598</v>
      </c>
      <c r="J202" s="9" t="s">
        <v>599</v>
      </c>
      <c r="K202" s="9" t="s">
        <v>600</v>
      </c>
      <c r="L202" s="9" t="s">
        <v>601</v>
      </c>
      <c r="M202" s="13" t="s">
        <v>602</v>
      </c>
    </row>
    <row r="203" customFormat="false" ht="15" hidden="false" customHeight="true" outlineLevel="0" collapsed="false">
      <c r="A203" s="9" t="s">
        <v>603</v>
      </c>
      <c r="B203" s="9" t="s">
        <v>604</v>
      </c>
      <c r="C203" s="9" t="s">
        <v>24</v>
      </c>
      <c r="D203" s="9" t="s">
        <v>38</v>
      </c>
      <c r="E203" s="10" t="n">
        <v>4.98</v>
      </c>
      <c r="F203" s="9" t="n">
        <v>181</v>
      </c>
      <c r="G203" s="11" t="n">
        <v>980</v>
      </c>
      <c r="H203" s="12" t="n">
        <f aca="false">IF(G203="","",ROUND(G203*(1-Supuestos!$B$3),0))</f>
        <v>686</v>
      </c>
      <c r="I203" s="9" t="s">
        <v>605</v>
      </c>
      <c r="J203" s="9"/>
      <c r="K203" s="9"/>
      <c r="L203" s="9"/>
      <c r="M203" s="13" t="s">
        <v>606</v>
      </c>
    </row>
    <row r="204" customFormat="false" ht="15" hidden="false" customHeight="true" outlineLevel="0" collapsed="false">
      <c r="A204" s="9" t="s">
        <v>607</v>
      </c>
      <c r="B204" s="9" t="s">
        <v>608</v>
      </c>
      <c r="C204" s="9" t="s">
        <v>42</v>
      </c>
      <c r="D204" s="9" t="s">
        <v>38</v>
      </c>
      <c r="E204" s="10" t="n">
        <v>5</v>
      </c>
      <c r="F204" s="9" t="n">
        <v>2</v>
      </c>
      <c r="G204" s="11" t="n">
        <v>1832</v>
      </c>
      <c r="H204" s="12" t="n">
        <f aca="false">IF(G204="","",ROUND(G204*(1-Supuestos!$B$3),0))</f>
        <v>1282</v>
      </c>
      <c r="I204" s="9"/>
      <c r="J204" s="9"/>
      <c r="K204" s="9"/>
      <c r="L204" s="9"/>
      <c r="M204" s="13" t="s">
        <v>609</v>
      </c>
    </row>
    <row r="205" customFormat="false" ht="15" hidden="false" customHeight="true" outlineLevel="0" collapsed="false">
      <c r="A205" s="9" t="s">
        <v>610</v>
      </c>
      <c r="B205" s="9" t="s">
        <v>611</v>
      </c>
      <c r="C205" s="9" t="s">
        <v>24</v>
      </c>
      <c r="D205" s="9" t="s">
        <v>25</v>
      </c>
      <c r="E205" s="10" t="n">
        <v>4.8</v>
      </c>
      <c r="F205" s="9" t="n">
        <v>318</v>
      </c>
      <c r="G205" s="11" t="n">
        <v>1215</v>
      </c>
      <c r="H205" s="12" t="n">
        <f aca="false">IF(G205="","",ROUND(G205*(1-Supuestos!$B$3),0))</f>
        <v>851</v>
      </c>
      <c r="I205" s="9" t="s">
        <v>612</v>
      </c>
      <c r="J205" s="9" t="s">
        <v>613</v>
      </c>
      <c r="K205" s="9" t="s">
        <v>614</v>
      </c>
      <c r="L205" s="9"/>
      <c r="M205" s="13" t="s">
        <v>615</v>
      </c>
    </row>
    <row r="206" customFormat="false" ht="15" hidden="false" customHeight="true" outlineLevel="0" collapsed="false">
      <c r="A206" s="9" t="s">
        <v>616</v>
      </c>
      <c r="B206" s="9" t="s">
        <v>617</v>
      </c>
      <c r="C206" s="9" t="s">
        <v>24</v>
      </c>
      <c r="D206" s="9" t="s">
        <v>50</v>
      </c>
      <c r="E206" s="10"/>
      <c r="F206" s="9" t="n">
        <v>0</v>
      </c>
      <c r="G206" s="11" t="n">
        <v>3500</v>
      </c>
      <c r="H206" s="12" t="n">
        <f aca="false">IF(G206="","",ROUND(G206*(1-Supuestos!$B$3),0))</f>
        <v>2450</v>
      </c>
      <c r="I206" s="9"/>
      <c r="J206" s="9"/>
      <c r="K206" s="9"/>
      <c r="L206" s="9"/>
      <c r="M206" s="13" t="s">
        <v>618</v>
      </c>
    </row>
    <row r="207" customFormat="false" ht="15" hidden="false" customHeight="true" outlineLevel="0" collapsed="false">
      <c r="A207" s="9" t="s">
        <v>619</v>
      </c>
      <c r="B207" s="9" t="s">
        <v>620</v>
      </c>
      <c r="C207" s="9" t="s">
        <v>24</v>
      </c>
      <c r="D207" s="9" t="s">
        <v>38</v>
      </c>
      <c r="E207" s="10" t="n">
        <v>4.93</v>
      </c>
      <c r="F207" s="9" t="n">
        <v>236</v>
      </c>
      <c r="G207" s="11" t="n">
        <v>666</v>
      </c>
      <c r="H207" s="12" t="n">
        <f aca="false">IF(G207="","",ROUND(G207*(1-Supuestos!$B$3),0))</f>
        <v>466</v>
      </c>
      <c r="I207" s="9"/>
      <c r="J207" s="9"/>
      <c r="K207" s="9"/>
      <c r="L207" s="9"/>
      <c r="M207" s="13" t="s">
        <v>621</v>
      </c>
    </row>
    <row r="208" customFormat="false" ht="15" hidden="false" customHeight="true" outlineLevel="0" collapsed="false">
      <c r="A208" s="9" t="s">
        <v>622</v>
      </c>
      <c r="B208" s="9" t="s">
        <v>623</v>
      </c>
      <c r="C208" s="9" t="s">
        <v>24</v>
      </c>
      <c r="D208" s="9" t="s">
        <v>38</v>
      </c>
      <c r="E208" s="10" t="n">
        <v>5</v>
      </c>
      <c r="F208" s="9" t="n">
        <v>4</v>
      </c>
      <c r="G208" s="11" t="n">
        <v>870</v>
      </c>
      <c r="H208" s="12" t="n">
        <f aca="false">IF(G208="","",ROUND(G208*(1-Supuestos!$B$3),0))</f>
        <v>609</v>
      </c>
      <c r="I208" s="9"/>
      <c r="J208" s="9"/>
      <c r="K208" s="9"/>
      <c r="L208" s="9"/>
      <c r="M208" s="13" t="s">
        <v>624</v>
      </c>
    </row>
    <row r="209" customFormat="false" ht="15" hidden="false" customHeight="true" outlineLevel="0" collapsed="false">
      <c r="A209" s="9" t="s">
        <v>625</v>
      </c>
      <c r="B209" s="9" t="s">
        <v>626</v>
      </c>
      <c r="C209" s="9" t="s">
        <v>24</v>
      </c>
      <c r="D209" s="9" t="s">
        <v>38</v>
      </c>
      <c r="E209" s="10"/>
      <c r="F209" s="9" t="n">
        <v>0</v>
      </c>
      <c r="G209" s="11" t="n">
        <v>1202</v>
      </c>
      <c r="H209" s="12" t="n">
        <f aca="false">IF(G209="","",ROUND(G209*(1-Supuestos!$B$3),0))</f>
        <v>841</v>
      </c>
      <c r="I209" s="9"/>
      <c r="J209" s="9"/>
      <c r="K209" s="9"/>
      <c r="L209" s="9"/>
      <c r="M209" s="13" t="s">
        <v>627</v>
      </c>
    </row>
    <row r="210" customFormat="false" ht="15" hidden="false" customHeight="true" outlineLevel="0" collapsed="false">
      <c r="A210" s="9" t="s">
        <v>625</v>
      </c>
      <c r="B210" s="9" t="s">
        <v>628</v>
      </c>
      <c r="C210" s="9" t="s">
        <v>24</v>
      </c>
      <c r="D210" s="9" t="s">
        <v>38</v>
      </c>
      <c r="E210" s="10"/>
      <c r="F210" s="9" t="n">
        <v>0</v>
      </c>
      <c r="G210" s="11" t="n">
        <v>1314</v>
      </c>
      <c r="H210" s="12" t="n">
        <f aca="false">IF(G210="","",ROUND(G210*(1-Supuestos!$B$3),0))</f>
        <v>920</v>
      </c>
      <c r="I210" s="9"/>
      <c r="J210" s="9"/>
      <c r="K210" s="9"/>
      <c r="L210" s="9"/>
      <c r="M210" s="13" t="s">
        <v>629</v>
      </c>
    </row>
    <row r="211" customFormat="false" ht="15" hidden="false" customHeight="true" outlineLevel="0" collapsed="false">
      <c r="A211" s="9" t="s">
        <v>630</v>
      </c>
      <c r="B211" s="9" t="s">
        <v>631</v>
      </c>
      <c r="C211" s="9" t="s">
        <v>24</v>
      </c>
      <c r="D211" s="9" t="s">
        <v>38</v>
      </c>
      <c r="E211" s="10" t="n">
        <v>4.95</v>
      </c>
      <c r="F211" s="9" t="n">
        <v>1346</v>
      </c>
      <c r="G211" s="11" t="n">
        <v>1406</v>
      </c>
      <c r="H211" s="12" t="n">
        <f aca="false">IF(G211="","",ROUND(G211*(1-Supuestos!$B$3),0))</f>
        <v>984</v>
      </c>
      <c r="I211" s="9"/>
      <c r="J211" s="9"/>
      <c r="K211" s="9"/>
      <c r="L211" s="9"/>
      <c r="M211" s="13" t="s">
        <v>632</v>
      </c>
    </row>
    <row r="212" customFormat="false" ht="15" hidden="false" customHeight="true" outlineLevel="0" collapsed="false">
      <c r="A212" s="9" t="s">
        <v>633</v>
      </c>
      <c r="B212" s="9" t="s">
        <v>634</v>
      </c>
      <c r="C212" s="9" t="s">
        <v>24</v>
      </c>
      <c r="D212" s="9" t="s">
        <v>38</v>
      </c>
      <c r="E212" s="10" t="n">
        <v>4.99</v>
      </c>
      <c r="F212" s="9" t="n">
        <v>156</v>
      </c>
      <c r="G212" s="11" t="n">
        <v>1314</v>
      </c>
      <c r="H212" s="12" t="n">
        <f aca="false">IF(G212="","",ROUND(G212*(1-Supuestos!$B$3),0))</f>
        <v>920</v>
      </c>
      <c r="I212" s="9"/>
      <c r="J212" s="9"/>
      <c r="K212" s="9"/>
      <c r="L212" s="9"/>
      <c r="M212" s="13" t="s">
        <v>635</v>
      </c>
    </row>
    <row r="213" customFormat="false" ht="15" hidden="false" customHeight="true" outlineLevel="0" collapsed="false">
      <c r="A213" s="9" t="s">
        <v>636</v>
      </c>
      <c r="B213" s="9" t="s">
        <v>637</v>
      </c>
      <c r="C213" s="9" t="s">
        <v>24</v>
      </c>
      <c r="D213" s="9" t="s">
        <v>25</v>
      </c>
      <c r="E213" s="10"/>
      <c r="F213" s="9" t="n">
        <v>0</v>
      </c>
      <c r="G213" s="11" t="n">
        <v>2100</v>
      </c>
      <c r="H213" s="12" t="n">
        <f aca="false">IF(G213="","",ROUND(G213*(1-Supuestos!$B$3),0))</f>
        <v>1470</v>
      </c>
      <c r="I213" s="9"/>
      <c r="J213" s="9"/>
      <c r="K213" s="9"/>
      <c r="L213" s="9"/>
      <c r="M213" s="13" t="s">
        <v>638</v>
      </c>
    </row>
    <row r="214" customFormat="false" ht="15" hidden="false" customHeight="true" outlineLevel="0" collapsed="false">
      <c r="A214" s="9" t="s">
        <v>639</v>
      </c>
      <c r="B214" s="9" t="s">
        <v>640</v>
      </c>
      <c r="C214" s="9" t="s">
        <v>24</v>
      </c>
      <c r="D214" s="9" t="s">
        <v>38</v>
      </c>
      <c r="E214" s="10" t="n">
        <v>4.79</v>
      </c>
      <c r="F214" s="9" t="n">
        <v>24</v>
      </c>
      <c r="G214" s="11" t="n">
        <v>1517</v>
      </c>
      <c r="H214" s="12" t="n">
        <f aca="false">IF(G214="","",ROUND(G214*(1-Supuestos!$B$3),0))</f>
        <v>1062</v>
      </c>
      <c r="I214" s="9"/>
      <c r="J214" s="9"/>
      <c r="K214" s="9"/>
      <c r="L214" s="9"/>
      <c r="M214" s="13" t="s">
        <v>641</v>
      </c>
    </row>
    <row r="215" customFormat="false" ht="15" hidden="false" customHeight="true" outlineLevel="0" collapsed="false">
      <c r="A215" s="9" t="s">
        <v>642</v>
      </c>
      <c r="B215" s="9" t="s">
        <v>643</v>
      </c>
      <c r="C215" s="9" t="s">
        <v>24</v>
      </c>
      <c r="D215" s="9" t="s">
        <v>25</v>
      </c>
      <c r="E215" s="10" t="n">
        <v>4.9</v>
      </c>
      <c r="F215" s="9" t="n">
        <v>48</v>
      </c>
      <c r="G215" s="11" t="n">
        <v>1000</v>
      </c>
      <c r="H215" s="12" t="n">
        <f aca="false">IF(G215="","",ROUND(G215*(1-Supuestos!$B$3),0))</f>
        <v>700</v>
      </c>
      <c r="I215" s="9" t="s">
        <v>644</v>
      </c>
      <c r="J215" s="9"/>
      <c r="K215" s="9" t="s">
        <v>645</v>
      </c>
      <c r="L215" s="9"/>
      <c r="M215" s="13" t="s">
        <v>646</v>
      </c>
    </row>
    <row r="216" customFormat="false" ht="15" hidden="false" customHeight="true" outlineLevel="0" collapsed="false">
      <c r="A216" s="9" t="s">
        <v>642</v>
      </c>
      <c r="B216" s="9" t="s">
        <v>647</v>
      </c>
      <c r="C216" s="9" t="s">
        <v>24</v>
      </c>
      <c r="D216" s="9" t="s">
        <v>50</v>
      </c>
      <c r="E216" s="10" t="n">
        <v>4.84</v>
      </c>
      <c r="F216" s="9" t="n">
        <v>11</v>
      </c>
      <c r="G216" s="11" t="n">
        <v>1000</v>
      </c>
      <c r="H216" s="12" t="n">
        <f aca="false">IF(G216="","",ROUND(G216*(1-Supuestos!$B$3),0))</f>
        <v>700</v>
      </c>
      <c r="I216" s="9" t="s">
        <v>644</v>
      </c>
      <c r="J216" s="9"/>
      <c r="K216" s="9" t="s">
        <v>645</v>
      </c>
      <c r="L216" s="9"/>
      <c r="M216" s="13" t="s">
        <v>648</v>
      </c>
    </row>
    <row r="217" customFormat="false" ht="15" hidden="false" customHeight="true" outlineLevel="0" collapsed="false">
      <c r="A217" s="9" t="s">
        <v>642</v>
      </c>
      <c r="B217" s="9" t="s">
        <v>647</v>
      </c>
      <c r="C217" s="9" t="s">
        <v>24</v>
      </c>
      <c r="D217" s="9" t="s">
        <v>25</v>
      </c>
      <c r="E217" s="10" t="n">
        <v>5</v>
      </c>
      <c r="F217" s="9" t="n">
        <v>36</v>
      </c>
      <c r="G217" s="11" t="n">
        <v>1000</v>
      </c>
      <c r="H217" s="12" t="n">
        <f aca="false">IF(G217="","",ROUND(G217*(1-Supuestos!$B$3),0))</f>
        <v>700</v>
      </c>
      <c r="I217" s="9" t="s">
        <v>644</v>
      </c>
      <c r="J217" s="9"/>
      <c r="K217" s="9" t="s">
        <v>645</v>
      </c>
      <c r="L217" s="9"/>
      <c r="M217" s="13" t="s">
        <v>649</v>
      </c>
    </row>
    <row r="218" customFormat="false" ht="15" hidden="false" customHeight="true" outlineLevel="0" collapsed="false">
      <c r="A218" s="9" t="s">
        <v>650</v>
      </c>
      <c r="B218" s="9" t="s">
        <v>651</v>
      </c>
      <c r="C218" s="9" t="s">
        <v>24</v>
      </c>
      <c r="D218" s="9" t="s">
        <v>38</v>
      </c>
      <c r="E218" s="10" t="n">
        <v>4.95</v>
      </c>
      <c r="F218" s="9" t="n">
        <v>43</v>
      </c>
      <c r="G218" s="11" t="n">
        <v>870</v>
      </c>
      <c r="H218" s="12" t="n">
        <f aca="false">IF(G218="","",ROUND(G218*(1-Supuestos!$B$3),0))</f>
        <v>609</v>
      </c>
      <c r="I218" s="9"/>
      <c r="J218" s="9"/>
      <c r="K218" s="9"/>
      <c r="L218" s="9"/>
      <c r="M218" s="13" t="s">
        <v>652</v>
      </c>
    </row>
    <row r="219" customFormat="false" ht="15" hidden="false" customHeight="true" outlineLevel="0" collapsed="false">
      <c r="A219" s="9" t="s">
        <v>650</v>
      </c>
      <c r="B219" s="9" t="s">
        <v>653</v>
      </c>
      <c r="C219" s="9" t="s">
        <v>24</v>
      </c>
      <c r="D219" s="9" t="s">
        <v>38</v>
      </c>
      <c r="E219" s="10"/>
      <c r="F219" s="9" t="n">
        <v>0</v>
      </c>
      <c r="G219" s="11" t="n">
        <v>314</v>
      </c>
      <c r="H219" s="12" t="n">
        <f aca="false">IF(G219="","",ROUND(G219*(1-Supuestos!$B$3),0))</f>
        <v>220</v>
      </c>
      <c r="I219" s="9"/>
      <c r="J219" s="9"/>
      <c r="K219" s="9"/>
      <c r="L219" s="9"/>
      <c r="M219" s="13" t="s">
        <v>654</v>
      </c>
    </row>
    <row r="220" customFormat="false" ht="15" hidden="false" customHeight="true" outlineLevel="0" collapsed="false">
      <c r="A220" s="9" t="s">
        <v>650</v>
      </c>
      <c r="B220" s="9" t="s">
        <v>655</v>
      </c>
      <c r="C220" s="9" t="s">
        <v>24</v>
      </c>
      <c r="D220" s="9" t="s">
        <v>38</v>
      </c>
      <c r="E220" s="10" t="n">
        <v>5</v>
      </c>
      <c r="F220" s="9" t="n">
        <v>12</v>
      </c>
      <c r="G220" s="11" t="n">
        <v>462</v>
      </c>
      <c r="H220" s="12" t="n">
        <f aca="false">IF(G220="","",ROUND(G220*(1-Supuestos!$B$3),0))</f>
        <v>323</v>
      </c>
      <c r="I220" s="9"/>
      <c r="J220" s="9"/>
      <c r="K220" s="9"/>
      <c r="L220" s="9"/>
      <c r="M220" s="13" t="s">
        <v>656</v>
      </c>
    </row>
    <row r="221" customFormat="false" ht="15" hidden="false" customHeight="true" outlineLevel="0" collapsed="false">
      <c r="A221" s="9" t="s">
        <v>657</v>
      </c>
      <c r="B221" s="9" t="s">
        <v>658</v>
      </c>
      <c r="C221" s="9" t="s">
        <v>24</v>
      </c>
      <c r="D221" s="9" t="s">
        <v>88</v>
      </c>
      <c r="E221" s="10" t="n">
        <v>4.75</v>
      </c>
      <c r="F221" s="9" t="n">
        <v>45</v>
      </c>
      <c r="G221" s="11" t="n">
        <v>2960</v>
      </c>
      <c r="H221" s="12" t="n">
        <f aca="false">IF(G221="","",ROUND(G221*(1-Supuestos!$B$3),0))</f>
        <v>2072</v>
      </c>
      <c r="I221" s="9"/>
      <c r="J221" s="9"/>
      <c r="K221" s="9" t="s">
        <v>645</v>
      </c>
      <c r="L221" s="9" t="s">
        <v>659</v>
      </c>
      <c r="M221" s="13" t="s">
        <v>660</v>
      </c>
    </row>
    <row r="222" customFormat="false" ht="15" hidden="false" customHeight="true" outlineLevel="0" collapsed="false">
      <c r="A222" s="9" t="s">
        <v>661</v>
      </c>
      <c r="B222" s="9" t="s">
        <v>662</v>
      </c>
      <c r="C222" s="9" t="s">
        <v>24</v>
      </c>
      <c r="D222" s="9" t="s">
        <v>38</v>
      </c>
      <c r="E222" s="10"/>
      <c r="F222" s="9" t="n">
        <v>0</v>
      </c>
      <c r="G222" s="11" t="n">
        <v>296</v>
      </c>
      <c r="H222" s="12" t="n">
        <f aca="false">IF(G222="","",ROUND(G222*(1-Supuestos!$B$3),0))</f>
        <v>207</v>
      </c>
      <c r="I222" s="9"/>
      <c r="J222" s="9"/>
      <c r="K222" s="9"/>
      <c r="L222" s="9"/>
      <c r="M222" s="13" t="s">
        <v>663</v>
      </c>
    </row>
    <row r="223" customFormat="false" ht="15" hidden="false" customHeight="true" outlineLevel="0" collapsed="false">
      <c r="A223" s="9" t="s">
        <v>664</v>
      </c>
      <c r="B223" s="9" t="s">
        <v>665</v>
      </c>
      <c r="C223" s="9" t="s">
        <v>24</v>
      </c>
      <c r="D223" s="9" t="s">
        <v>38</v>
      </c>
      <c r="E223" s="10" t="n">
        <v>4.99</v>
      </c>
      <c r="F223" s="9" t="n">
        <v>1031</v>
      </c>
      <c r="G223" s="11" t="n">
        <v>980</v>
      </c>
      <c r="H223" s="12" t="n">
        <f aca="false">IF(G223="","",ROUND(G223*(1-Supuestos!$B$3),0))</f>
        <v>686</v>
      </c>
      <c r="I223" s="9"/>
      <c r="J223" s="9"/>
      <c r="K223" s="9"/>
      <c r="L223" s="9"/>
      <c r="M223" s="13" t="s">
        <v>666</v>
      </c>
    </row>
    <row r="224" customFormat="false" ht="15" hidden="false" customHeight="true" outlineLevel="0" collapsed="false">
      <c r="A224" s="9" t="s">
        <v>667</v>
      </c>
      <c r="B224" s="9" t="s">
        <v>668</v>
      </c>
      <c r="C224" s="9" t="s">
        <v>24</v>
      </c>
      <c r="D224" s="9" t="s">
        <v>25</v>
      </c>
      <c r="E224" s="10" t="n">
        <v>5</v>
      </c>
      <c r="F224" s="9" t="n">
        <v>17</v>
      </c>
      <c r="G224" s="11" t="n">
        <v>899</v>
      </c>
      <c r="H224" s="12" t="n">
        <f aca="false">IF(G224="","",ROUND(G224*(1-Supuestos!$B$3),0))</f>
        <v>629</v>
      </c>
      <c r="I224" s="9" t="s">
        <v>669</v>
      </c>
      <c r="J224" s="9" t="s">
        <v>670</v>
      </c>
      <c r="K224" s="9" t="s">
        <v>671</v>
      </c>
      <c r="L224" s="9"/>
      <c r="M224" s="13" t="s">
        <v>672</v>
      </c>
    </row>
    <row r="225" customFormat="false" ht="15" hidden="false" customHeight="true" outlineLevel="0" collapsed="false">
      <c r="A225" s="9" t="s">
        <v>667</v>
      </c>
      <c r="B225" s="9" t="s">
        <v>673</v>
      </c>
      <c r="C225" s="9" t="s">
        <v>24</v>
      </c>
      <c r="D225" s="9" t="s">
        <v>50</v>
      </c>
      <c r="E225" s="10" t="n">
        <v>4.96</v>
      </c>
      <c r="F225" s="9" t="n">
        <v>16</v>
      </c>
      <c r="G225" s="11" t="n">
        <v>899</v>
      </c>
      <c r="H225" s="12" t="n">
        <f aca="false">IF(G225="","",ROUND(G225*(1-Supuestos!$B$3),0))</f>
        <v>629</v>
      </c>
      <c r="I225" s="9" t="s">
        <v>669</v>
      </c>
      <c r="J225" s="9" t="s">
        <v>670</v>
      </c>
      <c r="K225" s="9" t="s">
        <v>671</v>
      </c>
      <c r="L225" s="9"/>
      <c r="M225" s="13" t="s">
        <v>674</v>
      </c>
    </row>
    <row r="226" customFormat="false" ht="15" hidden="false" customHeight="true" outlineLevel="0" collapsed="false">
      <c r="A226" s="9" t="s">
        <v>667</v>
      </c>
      <c r="B226" s="9" t="s">
        <v>675</v>
      </c>
      <c r="C226" s="9" t="s">
        <v>24</v>
      </c>
      <c r="D226" s="9" t="s">
        <v>25</v>
      </c>
      <c r="E226" s="10" t="n">
        <v>5</v>
      </c>
      <c r="F226" s="9" t="n">
        <v>6</v>
      </c>
      <c r="G226" s="11" t="n">
        <v>899</v>
      </c>
      <c r="H226" s="12" t="n">
        <f aca="false">IF(G226="","",ROUND(G226*(1-Supuestos!$B$3),0))</f>
        <v>629</v>
      </c>
      <c r="I226" s="9" t="s">
        <v>669</v>
      </c>
      <c r="J226" s="9" t="s">
        <v>670</v>
      </c>
      <c r="K226" s="9" t="s">
        <v>671</v>
      </c>
      <c r="L226" s="9"/>
      <c r="M226" s="13" t="s">
        <v>676</v>
      </c>
    </row>
    <row r="227" customFormat="false" ht="15" hidden="false" customHeight="true" outlineLevel="0" collapsed="false">
      <c r="A227" s="9" t="s">
        <v>667</v>
      </c>
      <c r="B227" s="9" t="s">
        <v>677</v>
      </c>
      <c r="C227" s="9" t="s">
        <v>24</v>
      </c>
      <c r="D227" s="9" t="s">
        <v>50</v>
      </c>
      <c r="E227" s="10" t="n">
        <v>5</v>
      </c>
      <c r="F227" s="9" t="n">
        <v>4</v>
      </c>
      <c r="G227" s="11" t="n">
        <v>999</v>
      </c>
      <c r="H227" s="12" t="n">
        <f aca="false">IF(G227="","",ROUND(G227*(1-Supuestos!$B$3),0))</f>
        <v>699</v>
      </c>
      <c r="I227" s="9" t="s">
        <v>669</v>
      </c>
      <c r="J227" s="9" t="s">
        <v>670</v>
      </c>
      <c r="K227" s="9" t="s">
        <v>671</v>
      </c>
      <c r="L227" s="9"/>
      <c r="M227" s="13" t="s">
        <v>678</v>
      </c>
    </row>
    <row r="228" customFormat="false" ht="15" hidden="false" customHeight="true" outlineLevel="0" collapsed="false">
      <c r="A228" s="9" t="s">
        <v>667</v>
      </c>
      <c r="B228" s="9" t="s">
        <v>679</v>
      </c>
      <c r="C228" s="9" t="s">
        <v>46</v>
      </c>
      <c r="D228" s="9" t="s">
        <v>50</v>
      </c>
      <c r="E228" s="10" t="n">
        <v>5</v>
      </c>
      <c r="F228" s="9" t="n">
        <v>2</v>
      </c>
      <c r="G228" s="11" t="n">
        <v>899</v>
      </c>
      <c r="H228" s="12" t="n">
        <f aca="false">IF(G228="","",ROUND(G228*(1-Supuestos!$B$3),0))</f>
        <v>629</v>
      </c>
      <c r="I228" s="9" t="s">
        <v>669</v>
      </c>
      <c r="J228" s="9" t="s">
        <v>670</v>
      </c>
      <c r="K228" s="9" t="s">
        <v>671</v>
      </c>
      <c r="L228" s="9"/>
      <c r="M228" s="13" t="s">
        <v>680</v>
      </c>
    </row>
    <row r="229" customFormat="false" ht="15" hidden="false" customHeight="true" outlineLevel="0" collapsed="false">
      <c r="A229" s="9" t="s">
        <v>667</v>
      </c>
      <c r="B229" s="9" t="s">
        <v>681</v>
      </c>
      <c r="C229" s="9" t="s">
        <v>24</v>
      </c>
      <c r="D229" s="9" t="s">
        <v>88</v>
      </c>
      <c r="E229" s="10" t="n">
        <v>4</v>
      </c>
      <c r="F229" s="9" t="n">
        <v>2</v>
      </c>
      <c r="G229" s="11" t="n">
        <v>4024</v>
      </c>
      <c r="H229" s="12" t="n">
        <f aca="false">IF(G229="","",ROUND(G229*(1-Supuestos!$B$3),0))</f>
        <v>2817</v>
      </c>
      <c r="I229" s="9" t="s">
        <v>669</v>
      </c>
      <c r="J229" s="9" t="s">
        <v>670</v>
      </c>
      <c r="K229" s="9" t="s">
        <v>671</v>
      </c>
      <c r="L229" s="9"/>
      <c r="M229" s="13" t="s">
        <v>682</v>
      </c>
    </row>
    <row r="230" customFormat="false" ht="15" hidden="false" customHeight="true" outlineLevel="0" collapsed="false">
      <c r="A230" s="9" t="s">
        <v>683</v>
      </c>
      <c r="B230" s="9" t="s">
        <v>684</v>
      </c>
      <c r="C230" s="9" t="s">
        <v>24</v>
      </c>
      <c r="D230" s="9" t="s">
        <v>38</v>
      </c>
      <c r="E230" s="10" t="n">
        <v>5</v>
      </c>
      <c r="F230" s="9" t="n">
        <v>7</v>
      </c>
      <c r="G230" s="11" t="n">
        <v>1554</v>
      </c>
      <c r="H230" s="12" t="n">
        <f aca="false">IF(G230="","",ROUND(G230*(1-Supuestos!$B$3),0))</f>
        <v>1088</v>
      </c>
      <c r="I230" s="9"/>
      <c r="J230" s="9"/>
      <c r="K230" s="9"/>
      <c r="L230" s="9"/>
      <c r="M230" s="13" t="s">
        <v>685</v>
      </c>
    </row>
    <row r="231" customFormat="false" ht="15" hidden="false" customHeight="true" outlineLevel="0" collapsed="false">
      <c r="A231" s="9" t="s">
        <v>686</v>
      </c>
      <c r="B231" s="9" t="s">
        <v>687</v>
      </c>
      <c r="C231" s="9" t="s">
        <v>24</v>
      </c>
      <c r="D231" s="9" t="s">
        <v>50</v>
      </c>
      <c r="E231" s="10" t="n">
        <v>4.58</v>
      </c>
      <c r="F231" s="9" t="n">
        <v>209</v>
      </c>
      <c r="G231" s="11" t="n">
        <v>525</v>
      </c>
      <c r="H231" s="12" t="n">
        <f aca="false">IF(G231="","",ROUND(G231*(1-Supuestos!$B$3),0))</f>
        <v>368</v>
      </c>
      <c r="I231" s="9" t="s">
        <v>688</v>
      </c>
      <c r="J231" s="9" t="s">
        <v>689</v>
      </c>
      <c r="K231" s="9" t="s">
        <v>690</v>
      </c>
      <c r="L231" s="9"/>
      <c r="M231" s="13" t="s">
        <v>691</v>
      </c>
    </row>
    <row r="232" customFormat="false" ht="15" hidden="false" customHeight="true" outlineLevel="0" collapsed="false">
      <c r="A232" s="9" t="s">
        <v>686</v>
      </c>
      <c r="B232" s="9" t="s">
        <v>687</v>
      </c>
      <c r="C232" s="9" t="s">
        <v>24</v>
      </c>
      <c r="D232" s="9" t="s">
        <v>25</v>
      </c>
      <c r="E232" s="10" t="n">
        <v>4.8</v>
      </c>
      <c r="F232" s="9" t="n">
        <v>1178</v>
      </c>
      <c r="G232" s="11" t="n">
        <v>490</v>
      </c>
      <c r="H232" s="12" t="n">
        <f aca="false">IF(G232="","",ROUND(G232*(1-Supuestos!$B$3),0))</f>
        <v>343</v>
      </c>
      <c r="I232" s="9" t="s">
        <v>688</v>
      </c>
      <c r="J232" s="9" t="s">
        <v>689</v>
      </c>
      <c r="K232" s="9" t="s">
        <v>690</v>
      </c>
      <c r="L232" s="9"/>
      <c r="M232" s="13" t="s">
        <v>692</v>
      </c>
    </row>
    <row r="233" customFormat="false" ht="15" hidden="false" customHeight="true" outlineLevel="0" collapsed="false">
      <c r="A233" s="9" t="s">
        <v>686</v>
      </c>
      <c r="B233" s="9" t="s">
        <v>693</v>
      </c>
      <c r="C233" s="9" t="s">
        <v>24</v>
      </c>
      <c r="D233" s="9" t="s">
        <v>88</v>
      </c>
      <c r="E233" s="10" t="n">
        <v>4.3</v>
      </c>
      <c r="F233" s="9" t="n">
        <v>131</v>
      </c>
      <c r="G233" s="11" t="n">
        <v>0</v>
      </c>
      <c r="H233" s="12" t="n">
        <f aca="false">IF(G233="","",ROUND(G233*(1-Supuestos!$B$3),0))</f>
        <v>0</v>
      </c>
      <c r="I233" s="9" t="s">
        <v>688</v>
      </c>
      <c r="J233" s="9" t="s">
        <v>689</v>
      </c>
      <c r="K233" s="9" t="s">
        <v>690</v>
      </c>
      <c r="L233" s="9"/>
      <c r="M233" s="13" t="s">
        <v>694</v>
      </c>
    </row>
    <row r="234" customFormat="false" ht="15" hidden="false" customHeight="true" outlineLevel="0" collapsed="false">
      <c r="A234" s="9" t="s">
        <v>686</v>
      </c>
      <c r="B234" s="9" t="s">
        <v>695</v>
      </c>
      <c r="C234" s="9" t="s">
        <v>24</v>
      </c>
      <c r="D234" s="9" t="s">
        <v>88</v>
      </c>
      <c r="E234" s="10" t="n">
        <v>3.25</v>
      </c>
      <c r="F234" s="9" t="n">
        <v>19</v>
      </c>
      <c r="G234" s="11" t="n">
        <v>2498</v>
      </c>
      <c r="H234" s="12" t="n">
        <f aca="false">IF(G234="","",ROUND(G234*(1-Supuestos!$B$3),0))</f>
        <v>1749</v>
      </c>
      <c r="I234" s="9" t="s">
        <v>688</v>
      </c>
      <c r="J234" s="9" t="s">
        <v>689</v>
      </c>
      <c r="K234" s="9" t="s">
        <v>690</v>
      </c>
      <c r="L234" s="9"/>
      <c r="M234" s="13" t="s">
        <v>696</v>
      </c>
    </row>
    <row r="235" customFormat="false" ht="15" hidden="false" customHeight="true" outlineLevel="0" collapsed="false">
      <c r="A235" s="9" t="s">
        <v>697</v>
      </c>
      <c r="B235" s="9" t="s">
        <v>698</v>
      </c>
      <c r="C235" s="9" t="s">
        <v>24</v>
      </c>
      <c r="D235" s="9" t="s">
        <v>38</v>
      </c>
      <c r="E235" s="10" t="n">
        <v>4.95</v>
      </c>
      <c r="F235" s="9" t="n">
        <v>447</v>
      </c>
      <c r="G235" s="11" t="n">
        <v>462</v>
      </c>
      <c r="H235" s="12" t="n">
        <f aca="false">IF(G235="","",ROUND(G235*(1-Supuestos!$B$3),0))</f>
        <v>323</v>
      </c>
      <c r="I235" s="9"/>
      <c r="J235" s="9"/>
      <c r="K235" s="9"/>
      <c r="L235" s="9"/>
      <c r="M235" s="13" t="s">
        <v>699</v>
      </c>
    </row>
    <row r="236" customFormat="false" ht="15" hidden="false" customHeight="true" outlineLevel="0" collapsed="false">
      <c r="A236" s="9" t="s">
        <v>700</v>
      </c>
      <c r="B236" s="9" t="s">
        <v>701</v>
      </c>
      <c r="C236" s="9" t="s">
        <v>24</v>
      </c>
      <c r="D236" s="9" t="s">
        <v>25</v>
      </c>
      <c r="E236" s="10" t="n">
        <v>5</v>
      </c>
      <c r="F236" s="9" t="n">
        <v>9</v>
      </c>
      <c r="G236" s="11" t="n">
        <v>350</v>
      </c>
      <c r="H236" s="12" t="n">
        <f aca="false">IF(G236="","",ROUND(G236*(1-Supuestos!$B$3),0))</f>
        <v>245</v>
      </c>
      <c r="I236" s="9"/>
      <c r="J236" s="9"/>
      <c r="K236" s="9"/>
      <c r="L236" s="9"/>
      <c r="M236" s="13" t="s">
        <v>702</v>
      </c>
    </row>
    <row r="237" customFormat="false" ht="15" hidden="false" customHeight="true" outlineLevel="0" collapsed="false">
      <c r="A237" s="9" t="s">
        <v>703</v>
      </c>
      <c r="B237" s="9" t="s">
        <v>704</v>
      </c>
      <c r="C237" s="9" t="s">
        <v>24</v>
      </c>
      <c r="D237" s="9" t="s">
        <v>50</v>
      </c>
      <c r="E237" s="10"/>
      <c r="F237" s="9" t="n">
        <v>0</v>
      </c>
      <c r="G237" s="11" t="n">
        <v>1800</v>
      </c>
      <c r="H237" s="12" t="n">
        <f aca="false">IF(G237="","",ROUND(G237*(1-Supuestos!$B$3),0))</f>
        <v>1260</v>
      </c>
      <c r="I237" s="9"/>
      <c r="J237" s="9"/>
      <c r="K237" s="9"/>
      <c r="L237" s="9"/>
      <c r="M237" s="13" t="s">
        <v>705</v>
      </c>
    </row>
    <row r="238" customFormat="false" ht="15" hidden="false" customHeight="true" outlineLevel="0" collapsed="false">
      <c r="A238" s="9" t="s">
        <v>706</v>
      </c>
      <c r="B238" s="9" t="s">
        <v>707</v>
      </c>
      <c r="C238" s="9" t="s">
        <v>24</v>
      </c>
      <c r="D238" s="9" t="s">
        <v>38</v>
      </c>
      <c r="E238" s="10"/>
      <c r="F238" s="9" t="n">
        <v>0</v>
      </c>
      <c r="G238" s="11" t="n">
        <v>278</v>
      </c>
      <c r="H238" s="12" t="n">
        <f aca="false">IF(G238="","",ROUND(G238*(1-Supuestos!$B$3),0))</f>
        <v>195</v>
      </c>
      <c r="I238" s="9"/>
      <c r="J238" s="9"/>
      <c r="K238" s="9"/>
      <c r="L238" s="9"/>
      <c r="M238" s="13" t="s">
        <v>708</v>
      </c>
    </row>
    <row r="239" customFormat="false" ht="15" hidden="false" customHeight="true" outlineLevel="0" collapsed="false">
      <c r="A239" s="9" t="s">
        <v>709</v>
      </c>
      <c r="B239" s="9" t="s">
        <v>710</v>
      </c>
      <c r="C239" s="9" t="s">
        <v>24</v>
      </c>
      <c r="D239" s="9" t="s">
        <v>50</v>
      </c>
      <c r="E239" s="10"/>
      <c r="F239" s="9" t="n">
        <v>0</v>
      </c>
      <c r="G239" s="11" t="n">
        <v>405</v>
      </c>
      <c r="H239" s="12" t="n">
        <f aca="false">IF(G239="","",ROUND(G239*(1-Supuestos!$B$3),0))</f>
        <v>284</v>
      </c>
      <c r="I239" s="9"/>
      <c r="J239" s="9"/>
      <c r="K239" s="9"/>
      <c r="L239" s="9"/>
      <c r="M239" s="13" t="s">
        <v>711</v>
      </c>
    </row>
    <row r="240" customFormat="false" ht="15" hidden="false" customHeight="true" outlineLevel="0" collapsed="false">
      <c r="A240" s="9" t="s">
        <v>712</v>
      </c>
      <c r="B240" s="9" t="s">
        <v>713</v>
      </c>
      <c r="C240" s="9" t="s">
        <v>42</v>
      </c>
      <c r="D240" s="9" t="s">
        <v>38</v>
      </c>
      <c r="E240" s="10"/>
      <c r="F240" s="9" t="n">
        <v>0</v>
      </c>
      <c r="G240" s="11" t="n">
        <v>1406</v>
      </c>
      <c r="H240" s="12" t="n">
        <f aca="false">IF(G240="","",ROUND(G240*(1-Supuestos!$B$3),0))</f>
        <v>984</v>
      </c>
      <c r="I240" s="9"/>
      <c r="J240" s="9"/>
      <c r="K240" s="9"/>
      <c r="L240" s="9"/>
      <c r="M240" s="13" t="s">
        <v>714</v>
      </c>
    </row>
    <row r="241" customFormat="false" ht="15" hidden="false" customHeight="true" outlineLevel="0" collapsed="false">
      <c r="A241" s="9" t="s">
        <v>715</v>
      </c>
      <c r="B241" s="9" t="s">
        <v>716</v>
      </c>
      <c r="C241" s="9" t="s">
        <v>24</v>
      </c>
      <c r="D241" s="9" t="s">
        <v>38</v>
      </c>
      <c r="E241" s="10" t="n">
        <v>5</v>
      </c>
      <c r="F241" s="9" t="n">
        <v>5</v>
      </c>
      <c r="G241" s="11" t="n">
        <v>870</v>
      </c>
      <c r="H241" s="12" t="n">
        <f aca="false">IF(G241="","",ROUND(G241*(1-Supuestos!$B$3),0))</f>
        <v>609</v>
      </c>
      <c r="I241" s="9"/>
      <c r="J241" s="9"/>
      <c r="K241" s="9"/>
      <c r="L241" s="9"/>
      <c r="M241" s="13" t="s">
        <v>717</v>
      </c>
    </row>
    <row r="242" customFormat="false" ht="15" hidden="false" customHeight="true" outlineLevel="0" collapsed="false">
      <c r="A242" s="9" t="s">
        <v>718</v>
      </c>
      <c r="B242" s="9" t="s">
        <v>719</v>
      </c>
      <c r="C242" s="9" t="s">
        <v>24</v>
      </c>
      <c r="D242" s="9" t="s">
        <v>38</v>
      </c>
      <c r="E242" s="10"/>
      <c r="F242" s="9" t="n">
        <v>0</v>
      </c>
      <c r="G242" s="11" t="n">
        <v>1406</v>
      </c>
      <c r="H242" s="12" t="n">
        <f aca="false">IF(G242="","",ROUND(G242*(1-Supuestos!$B$3),0))</f>
        <v>984</v>
      </c>
      <c r="I242" s="9"/>
      <c r="J242" s="9"/>
      <c r="K242" s="9"/>
      <c r="L242" s="9"/>
      <c r="M242" s="13" t="s">
        <v>720</v>
      </c>
    </row>
    <row r="243" customFormat="false" ht="15" hidden="false" customHeight="true" outlineLevel="0" collapsed="false">
      <c r="A243" s="9" t="s">
        <v>721</v>
      </c>
      <c r="B243" s="9" t="s">
        <v>722</v>
      </c>
      <c r="C243" s="9" t="s">
        <v>24</v>
      </c>
      <c r="D243" s="9" t="s">
        <v>38</v>
      </c>
      <c r="E243" s="10" t="n">
        <v>4.97</v>
      </c>
      <c r="F243" s="9" t="n">
        <v>137</v>
      </c>
      <c r="G243" s="11" t="n">
        <v>758</v>
      </c>
      <c r="H243" s="12" t="n">
        <f aca="false">IF(G243="","",ROUND(G243*(1-Supuestos!$B$3),0))</f>
        <v>531</v>
      </c>
      <c r="I243" s="9"/>
      <c r="J243" s="9"/>
      <c r="K243" s="9"/>
      <c r="L243" s="9"/>
      <c r="M243" s="13" t="s">
        <v>723</v>
      </c>
    </row>
    <row r="244" customFormat="false" ht="15" hidden="false" customHeight="true" outlineLevel="0" collapsed="false">
      <c r="A244" s="9" t="s">
        <v>724</v>
      </c>
      <c r="B244" s="9" t="s">
        <v>725</v>
      </c>
      <c r="C244" s="9" t="s">
        <v>24</v>
      </c>
      <c r="D244" s="9" t="s">
        <v>38</v>
      </c>
      <c r="E244" s="10"/>
      <c r="F244" s="9" t="n">
        <v>0</v>
      </c>
      <c r="G244" s="11" t="n">
        <v>962</v>
      </c>
      <c r="H244" s="12" t="n">
        <f aca="false">IF(G244="","",ROUND(G244*(1-Supuestos!$B$3),0))</f>
        <v>673</v>
      </c>
      <c r="I244" s="9"/>
      <c r="J244" s="9"/>
      <c r="K244" s="9"/>
      <c r="L244" s="9"/>
      <c r="M244" s="13" t="s">
        <v>726</v>
      </c>
    </row>
    <row r="245" customFormat="false" ht="15" hidden="false" customHeight="true" outlineLevel="0" collapsed="false">
      <c r="A245" s="9" t="s">
        <v>727</v>
      </c>
      <c r="B245" s="9" t="s">
        <v>728</v>
      </c>
      <c r="C245" s="9" t="s">
        <v>24</v>
      </c>
      <c r="D245" s="9" t="s">
        <v>50</v>
      </c>
      <c r="E245" s="10" t="n">
        <v>3.68</v>
      </c>
      <c r="F245" s="9" t="n">
        <v>8</v>
      </c>
      <c r="G245" s="11" t="n">
        <v>959.2</v>
      </c>
      <c r="H245" s="12" t="n">
        <f aca="false">IF(G245="","",ROUND(G245*(1-Supuestos!$B$3),0))</f>
        <v>671</v>
      </c>
      <c r="I245" s="9" t="s">
        <v>729</v>
      </c>
      <c r="J245" s="9" t="s">
        <v>730</v>
      </c>
      <c r="K245" s="9" t="s">
        <v>731</v>
      </c>
      <c r="L245" s="9" t="s">
        <v>732</v>
      </c>
      <c r="M245" s="13" t="s">
        <v>733</v>
      </c>
    </row>
    <row r="246" customFormat="false" ht="15" hidden="false" customHeight="true" outlineLevel="0" collapsed="false">
      <c r="A246" s="9" t="s">
        <v>727</v>
      </c>
      <c r="B246" s="9" t="s">
        <v>734</v>
      </c>
      <c r="C246" s="9" t="s">
        <v>24</v>
      </c>
      <c r="D246" s="9" t="s">
        <v>50</v>
      </c>
      <c r="E246" s="10"/>
      <c r="F246" s="9" t="n">
        <v>0</v>
      </c>
      <c r="G246" s="11" t="n">
        <v>680</v>
      </c>
      <c r="H246" s="12" t="n">
        <f aca="false">IF(G246="","",ROUND(G246*(1-Supuestos!$B$3),0))</f>
        <v>476</v>
      </c>
      <c r="I246" s="9" t="s">
        <v>729</v>
      </c>
      <c r="J246" s="9" t="s">
        <v>730</v>
      </c>
      <c r="K246" s="9" t="s">
        <v>731</v>
      </c>
      <c r="L246" s="9" t="s">
        <v>732</v>
      </c>
      <c r="M246" s="13" t="s">
        <v>735</v>
      </c>
    </row>
    <row r="247" customFormat="false" ht="15" hidden="false" customHeight="true" outlineLevel="0" collapsed="false">
      <c r="A247" s="9" t="s">
        <v>736</v>
      </c>
      <c r="B247" s="9" t="s">
        <v>737</v>
      </c>
      <c r="C247" s="9" t="s">
        <v>42</v>
      </c>
      <c r="D247" s="9" t="s">
        <v>25</v>
      </c>
      <c r="E247" s="10" t="n">
        <v>4.7</v>
      </c>
      <c r="F247" s="9" t="n">
        <v>21</v>
      </c>
      <c r="G247" s="11" t="n">
        <v>1000</v>
      </c>
      <c r="H247" s="12" t="n">
        <f aca="false">IF(G247="","",ROUND(G247*(1-Supuestos!$B$3),0))</f>
        <v>700</v>
      </c>
      <c r="I247" s="9"/>
      <c r="J247" s="9" t="s">
        <v>738</v>
      </c>
      <c r="K247" s="9"/>
      <c r="L247" s="9"/>
      <c r="M247" s="13" t="s">
        <v>739</v>
      </c>
    </row>
    <row r="248" customFormat="false" ht="15" hidden="false" customHeight="true" outlineLevel="0" collapsed="false">
      <c r="A248" s="9" t="s">
        <v>740</v>
      </c>
      <c r="B248" s="9" t="s">
        <v>741</v>
      </c>
      <c r="C248" s="9" t="s">
        <v>24</v>
      </c>
      <c r="D248" s="9" t="s">
        <v>25</v>
      </c>
      <c r="E248" s="10" t="n">
        <v>5</v>
      </c>
      <c r="F248" s="9" t="n">
        <v>1</v>
      </c>
      <c r="G248" s="11" t="n">
        <v>875</v>
      </c>
      <c r="H248" s="12" t="n">
        <f aca="false">IF(G248="","",ROUND(G248*(1-Supuestos!$B$3),0))</f>
        <v>613</v>
      </c>
      <c r="I248" s="9"/>
      <c r="J248" s="9"/>
      <c r="K248" s="9"/>
      <c r="L248" s="9"/>
      <c r="M248" s="13" t="s">
        <v>742</v>
      </c>
    </row>
    <row r="249" customFormat="false" ht="15" hidden="false" customHeight="true" outlineLevel="0" collapsed="false">
      <c r="A249" s="9" t="s">
        <v>743</v>
      </c>
      <c r="B249" s="9" t="s">
        <v>744</v>
      </c>
      <c r="C249" s="9" t="s">
        <v>24</v>
      </c>
      <c r="D249" s="9" t="s">
        <v>25</v>
      </c>
      <c r="E249" s="10" t="n">
        <v>5</v>
      </c>
      <c r="F249" s="9" t="n">
        <v>1</v>
      </c>
      <c r="G249" s="11" t="n">
        <v>2200</v>
      </c>
      <c r="H249" s="12" t="n">
        <f aca="false">IF(G249="","",ROUND(G249*(1-Supuestos!$B$3),0))</f>
        <v>1540</v>
      </c>
      <c r="I249" s="9"/>
      <c r="J249" s="9"/>
      <c r="K249" s="9"/>
      <c r="L249" s="9"/>
      <c r="M249" s="13" t="s">
        <v>745</v>
      </c>
    </row>
    <row r="250" customFormat="false" ht="15" hidden="false" customHeight="true" outlineLevel="0" collapsed="false">
      <c r="A250" s="9" t="s">
        <v>746</v>
      </c>
      <c r="B250" s="9" t="s">
        <v>747</v>
      </c>
      <c r="C250" s="9" t="s">
        <v>24</v>
      </c>
      <c r="D250" s="9" t="s">
        <v>38</v>
      </c>
      <c r="E250" s="10"/>
      <c r="F250" s="9" t="n">
        <v>0</v>
      </c>
      <c r="G250" s="11" t="n">
        <v>1240</v>
      </c>
      <c r="H250" s="12" t="n">
        <f aca="false">IF(G250="","",ROUND(G250*(1-Supuestos!$B$3),0))</f>
        <v>868</v>
      </c>
      <c r="I250" s="9"/>
      <c r="J250" s="9"/>
      <c r="K250" s="9"/>
      <c r="L250" s="9"/>
      <c r="M250" s="13" t="s">
        <v>748</v>
      </c>
    </row>
    <row r="251" customFormat="false" ht="15" hidden="false" customHeight="true" outlineLevel="0" collapsed="false">
      <c r="A251" s="9" t="s">
        <v>746</v>
      </c>
      <c r="B251" s="9" t="s">
        <v>749</v>
      </c>
      <c r="C251" s="9" t="s">
        <v>24</v>
      </c>
      <c r="D251" s="9" t="s">
        <v>38</v>
      </c>
      <c r="E251" s="10"/>
      <c r="F251" s="9" t="n">
        <v>0</v>
      </c>
      <c r="G251" s="11" t="n">
        <v>1554</v>
      </c>
      <c r="H251" s="12" t="n">
        <f aca="false">IF(G251="","",ROUND(G251*(1-Supuestos!$B$3),0))</f>
        <v>1088</v>
      </c>
      <c r="I251" s="9"/>
      <c r="J251" s="9"/>
      <c r="K251" s="9"/>
      <c r="L251" s="9"/>
      <c r="M251" s="13" t="s">
        <v>750</v>
      </c>
    </row>
    <row r="252" customFormat="false" ht="15" hidden="false" customHeight="true" outlineLevel="0" collapsed="false">
      <c r="A252" s="9" t="s">
        <v>751</v>
      </c>
      <c r="B252" s="9" t="s">
        <v>752</v>
      </c>
      <c r="C252" s="9" t="s">
        <v>46</v>
      </c>
      <c r="D252" s="9" t="s">
        <v>38</v>
      </c>
      <c r="E252" s="10" t="n">
        <v>5</v>
      </c>
      <c r="F252" s="9" t="n">
        <v>3</v>
      </c>
      <c r="G252" s="11" t="n">
        <v>962</v>
      </c>
      <c r="H252" s="12" t="n">
        <f aca="false">IF(G252="","",ROUND(G252*(1-Supuestos!$B$3),0))</f>
        <v>673</v>
      </c>
      <c r="I252" s="9"/>
      <c r="J252" s="9"/>
      <c r="K252" s="9"/>
      <c r="L252" s="9"/>
      <c r="M252" s="13" t="s">
        <v>753</v>
      </c>
    </row>
    <row r="253" customFormat="false" ht="15" hidden="false" customHeight="true" outlineLevel="0" collapsed="false">
      <c r="A253" s="9" t="s">
        <v>754</v>
      </c>
      <c r="B253" s="9" t="s">
        <v>755</v>
      </c>
      <c r="C253" s="9" t="s">
        <v>24</v>
      </c>
      <c r="D253" s="9" t="s">
        <v>38</v>
      </c>
      <c r="E253" s="10"/>
      <c r="F253" s="9" t="n">
        <v>0</v>
      </c>
      <c r="G253" s="11" t="n">
        <v>610</v>
      </c>
      <c r="H253" s="12" t="n">
        <f aca="false">IF(G253="","",ROUND(G253*(1-Supuestos!$B$3),0))</f>
        <v>427</v>
      </c>
      <c r="I253" s="9"/>
      <c r="J253" s="9"/>
      <c r="K253" s="9"/>
      <c r="L253" s="9"/>
      <c r="M253" s="13" t="s">
        <v>756</v>
      </c>
    </row>
    <row r="254" customFormat="false" ht="15" hidden="false" customHeight="true" outlineLevel="0" collapsed="false">
      <c r="A254" s="9" t="s">
        <v>757</v>
      </c>
      <c r="B254" s="9" t="s">
        <v>758</v>
      </c>
      <c r="C254" s="9" t="s">
        <v>46</v>
      </c>
      <c r="D254" s="9" t="s">
        <v>38</v>
      </c>
      <c r="E254" s="10" t="n">
        <v>5</v>
      </c>
      <c r="F254" s="9" t="n">
        <v>34</v>
      </c>
      <c r="G254" s="11" t="n">
        <v>1628</v>
      </c>
      <c r="H254" s="12" t="n">
        <f aca="false">IF(G254="","",ROUND(G254*(1-Supuestos!$B$3),0))</f>
        <v>1140</v>
      </c>
      <c r="I254" s="9"/>
      <c r="J254" s="9"/>
      <c r="K254" s="9"/>
      <c r="L254" s="9"/>
      <c r="M254" s="13" t="s">
        <v>759</v>
      </c>
    </row>
    <row r="255" customFormat="false" ht="15" hidden="false" customHeight="true" outlineLevel="0" collapsed="false">
      <c r="A255" s="9" t="s">
        <v>760</v>
      </c>
      <c r="B255" s="9" t="s">
        <v>761</v>
      </c>
      <c r="C255" s="9" t="s">
        <v>24</v>
      </c>
      <c r="D255" s="9" t="s">
        <v>25</v>
      </c>
      <c r="E255" s="10"/>
      <c r="F255" s="9" t="n">
        <v>0</v>
      </c>
      <c r="G255" s="11" t="n">
        <v>1000</v>
      </c>
      <c r="H255" s="12" t="n">
        <f aca="false">IF(G255="","",ROUND(G255*(1-Supuestos!$B$3),0))</f>
        <v>700</v>
      </c>
      <c r="I255" s="9"/>
      <c r="J255" s="9"/>
      <c r="K255" s="9"/>
      <c r="L255" s="9"/>
      <c r="M255" s="13" t="s">
        <v>762</v>
      </c>
    </row>
    <row r="256" customFormat="false" ht="15" hidden="false" customHeight="true" outlineLevel="0" collapsed="false">
      <c r="A256" s="9" t="s">
        <v>763</v>
      </c>
      <c r="B256" s="9" t="s">
        <v>764</v>
      </c>
      <c r="C256" s="9" t="s">
        <v>42</v>
      </c>
      <c r="D256" s="9" t="s">
        <v>25</v>
      </c>
      <c r="E256" s="10" t="n">
        <v>5</v>
      </c>
      <c r="F256" s="9" t="n">
        <v>1</v>
      </c>
      <c r="G256" s="11" t="n">
        <v>963</v>
      </c>
      <c r="H256" s="12" t="n">
        <f aca="false">IF(G256="","",ROUND(G256*(1-Supuestos!$B$3),0))</f>
        <v>674</v>
      </c>
      <c r="I256" s="9"/>
      <c r="J256" s="9"/>
      <c r="K256" s="9"/>
      <c r="L256" s="9"/>
      <c r="M256" s="13" t="s">
        <v>765</v>
      </c>
    </row>
    <row r="257" customFormat="false" ht="15" hidden="false" customHeight="true" outlineLevel="0" collapsed="false">
      <c r="A257" s="9" t="s">
        <v>766</v>
      </c>
      <c r="B257" s="9" t="s">
        <v>767</v>
      </c>
      <c r="C257" s="9" t="s">
        <v>24</v>
      </c>
      <c r="D257" s="9" t="s">
        <v>38</v>
      </c>
      <c r="E257" s="10"/>
      <c r="F257" s="9" t="n">
        <v>0</v>
      </c>
      <c r="G257" s="11" t="n">
        <v>1314</v>
      </c>
      <c r="H257" s="12" t="n">
        <f aca="false">IF(G257="","",ROUND(G257*(1-Supuestos!$B$3),0))</f>
        <v>920</v>
      </c>
      <c r="I257" s="9"/>
      <c r="J257" s="9"/>
      <c r="K257" s="9"/>
      <c r="L257" s="9"/>
      <c r="M257" s="13" t="s">
        <v>768</v>
      </c>
    </row>
    <row r="258" customFormat="false" ht="15" hidden="false" customHeight="true" outlineLevel="0" collapsed="false">
      <c r="A258" s="9" t="s">
        <v>769</v>
      </c>
      <c r="B258" s="9" t="s">
        <v>770</v>
      </c>
      <c r="C258" s="9" t="s">
        <v>42</v>
      </c>
      <c r="D258" s="9" t="s">
        <v>50</v>
      </c>
      <c r="E258" s="10"/>
      <c r="F258" s="9" t="n">
        <v>0</v>
      </c>
      <c r="G258" s="11" t="n">
        <v>3100</v>
      </c>
      <c r="H258" s="12" t="n">
        <f aca="false">IF(G258="","",ROUND(G258*(1-Supuestos!$B$3),0))</f>
        <v>2170</v>
      </c>
      <c r="I258" s="9"/>
      <c r="J258" s="9"/>
      <c r="K258" s="9"/>
      <c r="L258" s="9"/>
      <c r="M258" s="13" t="s">
        <v>771</v>
      </c>
    </row>
    <row r="259" customFormat="false" ht="15" hidden="false" customHeight="true" outlineLevel="0" collapsed="false">
      <c r="A259" s="9" t="s">
        <v>772</v>
      </c>
      <c r="B259" s="9" t="s">
        <v>773</v>
      </c>
      <c r="C259" s="9" t="s">
        <v>24</v>
      </c>
      <c r="D259" s="9" t="s">
        <v>38</v>
      </c>
      <c r="E259" s="10" t="n">
        <v>4.85</v>
      </c>
      <c r="F259" s="9" t="n">
        <v>150</v>
      </c>
      <c r="G259" s="11" t="n">
        <v>1295</v>
      </c>
      <c r="H259" s="12" t="n">
        <f aca="false">IF(G259="","",ROUND(G259*(1-Supuestos!$B$3),0))</f>
        <v>906</v>
      </c>
      <c r="I259" s="9" t="s">
        <v>774</v>
      </c>
      <c r="J259" s="9" t="s">
        <v>775</v>
      </c>
      <c r="K259" s="9"/>
      <c r="L259" s="9" t="s">
        <v>776</v>
      </c>
      <c r="M259" s="13" t="s">
        <v>777</v>
      </c>
    </row>
    <row r="260" customFormat="false" ht="15" hidden="false" customHeight="true" outlineLevel="0" collapsed="false">
      <c r="A260" s="9" t="s">
        <v>772</v>
      </c>
      <c r="B260" s="9" t="s">
        <v>773</v>
      </c>
      <c r="C260" s="9" t="s">
        <v>24</v>
      </c>
      <c r="D260" s="9" t="s">
        <v>50</v>
      </c>
      <c r="E260" s="10" t="n">
        <v>4.29</v>
      </c>
      <c r="F260" s="9" t="n">
        <v>28</v>
      </c>
      <c r="G260" s="11" t="n">
        <v>1526.32</v>
      </c>
      <c r="H260" s="12" t="n">
        <f aca="false">IF(G260="","",ROUND(G260*(1-Supuestos!$B$3),0))</f>
        <v>1068</v>
      </c>
      <c r="I260" s="9" t="s">
        <v>774</v>
      </c>
      <c r="J260" s="9" t="s">
        <v>775</v>
      </c>
      <c r="K260" s="9"/>
      <c r="L260" s="9" t="s">
        <v>776</v>
      </c>
      <c r="M260" s="13" t="s">
        <v>778</v>
      </c>
    </row>
    <row r="261" customFormat="false" ht="15" hidden="false" customHeight="true" outlineLevel="0" collapsed="false">
      <c r="A261" s="9" t="s">
        <v>772</v>
      </c>
      <c r="B261" s="9" t="s">
        <v>779</v>
      </c>
      <c r="C261" s="9" t="s">
        <v>24</v>
      </c>
      <c r="D261" s="9" t="s">
        <v>38</v>
      </c>
      <c r="E261" s="10" t="n">
        <v>4.96</v>
      </c>
      <c r="F261" s="9" t="n">
        <v>306</v>
      </c>
      <c r="G261" s="11" t="n">
        <v>1092</v>
      </c>
      <c r="H261" s="12" t="n">
        <f aca="false">IF(G261="","",ROUND(G261*(1-Supuestos!$B$3),0))</f>
        <v>764</v>
      </c>
      <c r="I261" s="9" t="s">
        <v>774</v>
      </c>
      <c r="J261" s="9" t="s">
        <v>775</v>
      </c>
      <c r="K261" s="9"/>
      <c r="L261" s="9" t="s">
        <v>776</v>
      </c>
      <c r="M261" s="13" t="s">
        <v>780</v>
      </c>
    </row>
    <row r="262" customFormat="false" ht="15" hidden="false" customHeight="true" outlineLevel="0" collapsed="false">
      <c r="A262" s="9" t="s">
        <v>772</v>
      </c>
      <c r="B262" s="9" t="s">
        <v>779</v>
      </c>
      <c r="C262" s="9" t="s">
        <v>24</v>
      </c>
      <c r="D262" s="9" t="s">
        <v>50</v>
      </c>
      <c r="E262" s="10" t="n">
        <v>5</v>
      </c>
      <c r="F262" s="9" t="n">
        <v>1</v>
      </c>
      <c r="G262" s="11" t="n">
        <v>1354.82</v>
      </c>
      <c r="H262" s="12" t="n">
        <f aca="false">IF(G262="","",ROUND(G262*(1-Supuestos!$B$3),0))</f>
        <v>948</v>
      </c>
      <c r="I262" s="9" t="s">
        <v>774</v>
      </c>
      <c r="J262" s="9" t="s">
        <v>775</v>
      </c>
      <c r="K262" s="9"/>
      <c r="L262" s="9" t="s">
        <v>776</v>
      </c>
      <c r="M262" s="13" t="s">
        <v>781</v>
      </c>
    </row>
    <row r="263" customFormat="false" ht="15" hidden="false" customHeight="true" outlineLevel="0" collapsed="false">
      <c r="A263" s="9" t="s">
        <v>772</v>
      </c>
      <c r="B263" s="9" t="s">
        <v>782</v>
      </c>
      <c r="C263" s="9" t="s">
        <v>24</v>
      </c>
      <c r="D263" s="9" t="s">
        <v>38</v>
      </c>
      <c r="E263" s="10" t="n">
        <v>4.91</v>
      </c>
      <c r="F263" s="9" t="n">
        <v>47</v>
      </c>
      <c r="G263" s="11" t="n">
        <v>1517</v>
      </c>
      <c r="H263" s="12" t="n">
        <f aca="false">IF(G263="","",ROUND(G263*(1-Supuestos!$B$3),0))</f>
        <v>1062</v>
      </c>
      <c r="I263" s="9" t="s">
        <v>774</v>
      </c>
      <c r="J263" s="9" t="s">
        <v>775</v>
      </c>
      <c r="K263" s="9"/>
      <c r="L263" s="9" t="s">
        <v>776</v>
      </c>
      <c r="M263" s="13" t="s">
        <v>783</v>
      </c>
    </row>
    <row r="264" customFormat="false" ht="15" hidden="false" customHeight="true" outlineLevel="0" collapsed="false">
      <c r="A264" s="9" t="s">
        <v>772</v>
      </c>
      <c r="B264" s="9" t="s">
        <v>784</v>
      </c>
      <c r="C264" s="9" t="s">
        <v>24</v>
      </c>
      <c r="D264" s="9" t="s">
        <v>38</v>
      </c>
      <c r="E264" s="10" t="n">
        <v>5</v>
      </c>
      <c r="F264" s="9" t="n">
        <v>2</v>
      </c>
      <c r="G264" s="11" t="n">
        <v>3034</v>
      </c>
      <c r="H264" s="12" t="n">
        <f aca="false">IF(G264="","",ROUND(G264*(1-Supuestos!$B$3),0))</f>
        <v>2124</v>
      </c>
      <c r="I264" s="9" t="s">
        <v>774</v>
      </c>
      <c r="J264" s="9" t="s">
        <v>775</v>
      </c>
      <c r="K264" s="9"/>
      <c r="L264" s="9" t="s">
        <v>776</v>
      </c>
      <c r="M264" s="13" t="s">
        <v>785</v>
      </c>
    </row>
    <row r="265" customFormat="false" ht="15" hidden="false" customHeight="true" outlineLevel="0" collapsed="false">
      <c r="A265" s="9" t="s">
        <v>786</v>
      </c>
      <c r="B265" s="9" t="s">
        <v>787</v>
      </c>
      <c r="C265" s="9" t="s">
        <v>24</v>
      </c>
      <c r="D265" s="9" t="s">
        <v>38</v>
      </c>
      <c r="E265" s="10" t="n">
        <v>4.87</v>
      </c>
      <c r="F265" s="9" t="n">
        <v>234</v>
      </c>
      <c r="G265" s="11" t="n">
        <v>925</v>
      </c>
      <c r="H265" s="12" t="n">
        <f aca="false">IF(G265="","",ROUND(G265*(1-Supuestos!$B$3),0))</f>
        <v>648</v>
      </c>
      <c r="I265" s="9" t="s">
        <v>788</v>
      </c>
      <c r="J265" s="9" t="s">
        <v>789</v>
      </c>
      <c r="K265" s="9" t="s">
        <v>790</v>
      </c>
      <c r="L265" s="9" t="s">
        <v>791</v>
      </c>
      <c r="M265" s="13" t="s">
        <v>792</v>
      </c>
    </row>
    <row r="266" customFormat="false" ht="15" hidden="false" customHeight="true" outlineLevel="0" collapsed="false">
      <c r="A266" s="9" t="s">
        <v>793</v>
      </c>
      <c r="B266" s="9" t="s">
        <v>794</v>
      </c>
      <c r="C266" s="9" t="s">
        <v>24</v>
      </c>
      <c r="D266" s="9" t="s">
        <v>50</v>
      </c>
      <c r="E266" s="10" t="n">
        <v>4.78</v>
      </c>
      <c r="F266" s="9" t="n">
        <v>1299</v>
      </c>
      <c r="G266" s="11" t="n">
        <v>460</v>
      </c>
      <c r="H266" s="12" t="n">
        <f aca="false">IF(G266="","",ROUND(G266*(1-Supuestos!$B$3),0))</f>
        <v>322</v>
      </c>
      <c r="I266" s="9" t="s">
        <v>795</v>
      </c>
      <c r="J266" s="9" t="s">
        <v>796</v>
      </c>
      <c r="K266" s="9" t="s">
        <v>797</v>
      </c>
      <c r="L266" s="9"/>
      <c r="M266" s="13" t="s">
        <v>798</v>
      </c>
    </row>
    <row r="267" customFormat="false" ht="15" hidden="false" customHeight="true" outlineLevel="0" collapsed="false">
      <c r="A267" s="9" t="s">
        <v>793</v>
      </c>
      <c r="B267" s="9" t="s">
        <v>794</v>
      </c>
      <c r="C267" s="9" t="s">
        <v>24</v>
      </c>
      <c r="D267" s="9" t="s">
        <v>25</v>
      </c>
      <c r="E267" s="10" t="n">
        <v>4.9</v>
      </c>
      <c r="F267" s="9" t="n">
        <v>1460</v>
      </c>
      <c r="G267" s="11" t="n">
        <v>445</v>
      </c>
      <c r="H267" s="12" t="n">
        <f aca="false">IF(G267="","",ROUND(G267*(1-Supuestos!$B$3),0))</f>
        <v>312</v>
      </c>
      <c r="I267" s="9" t="s">
        <v>795</v>
      </c>
      <c r="J267" s="9" t="s">
        <v>796</v>
      </c>
      <c r="K267" s="9" t="s">
        <v>797</v>
      </c>
      <c r="L267" s="9"/>
      <c r="M267" s="13" t="s">
        <v>799</v>
      </c>
    </row>
    <row r="268" customFormat="false" ht="15" hidden="false" customHeight="true" outlineLevel="0" collapsed="false">
      <c r="A268" s="9" t="s">
        <v>793</v>
      </c>
      <c r="B268" s="9" t="s">
        <v>800</v>
      </c>
      <c r="C268" s="9" t="s">
        <v>24</v>
      </c>
      <c r="D268" s="9" t="s">
        <v>25</v>
      </c>
      <c r="E268" s="10" t="n">
        <v>5</v>
      </c>
      <c r="F268" s="9" t="n">
        <v>205</v>
      </c>
      <c r="G268" s="11" t="n">
        <v>975</v>
      </c>
      <c r="H268" s="12" t="n">
        <f aca="false">IF(G268="","",ROUND(G268*(1-Supuestos!$B$3),0))</f>
        <v>683</v>
      </c>
      <c r="I268" s="9" t="s">
        <v>795</v>
      </c>
      <c r="J268" s="9" t="s">
        <v>796</v>
      </c>
      <c r="K268" s="9" t="s">
        <v>797</v>
      </c>
      <c r="L268" s="9"/>
      <c r="M268" s="13" t="s">
        <v>801</v>
      </c>
    </row>
    <row r="269" customFormat="false" ht="15" hidden="false" customHeight="true" outlineLevel="0" collapsed="false">
      <c r="A269" s="9" t="s">
        <v>793</v>
      </c>
      <c r="B269" s="9" t="s">
        <v>800</v>
      </c>
      <c r="C269" s="9" t="s">
        <v>24</v>
      </c>
      <c r="D269" s="9" t="s">
        <v>50</v>
      </c>
      <c r="E269" s="10" t="n">
        <v>5</v>
      </c>
      <c r="F269" s="9" t="n">
        <v>2</v>
      </c>
      <c r="G269" s="11" t="n">
        <v>900</v>
      </c>
      <c r="H269" s="12" t="n">
        <f aca="false">IF(G269="","",ROUND(G269*(1-Supuestos!$B$3),0))</f>
        <v>630</v>
      </c>
      <c r="I269" s="9" t="s">
        <v>795</v>
      </c>
      <c r="J269" s="9" t="s">
        <v>796</v>
      </c>
      <c r="K269" s="9" t="s">
        <v>797</v>
      </c>
      <c r="L269" s="9"/>
      <c r="M269" s="13" t="s">
        <v>802</v>
      </c>
    </row>
    <row r="270" customFormat="false" ht="15" hidden="false" customHeight="true" outlineLevel="0" collapsed="false">
      <c r="A270" s="9" t="s">
        <v>793</v>
      </c>
      <c r="B270" s="9" t="s">
        <v>803</v>
      </c>
      <c r="C270" s="9" t="s">
        <v>24</v>
      </c>
      <c r="D270" s="9" t="s">
        <v>25</v>
      </c>
      <c r="E270" s="10" t="n">
        <v>5</v>
      </c>
      <c r="F270" s="9" t="n">
        <v>132</v>
      </c>
      <c r="G270" s="11" t="n">
        <v>1700</v>
      </c>
      <c r="H270" s="12" t="n">
        <f aca="false">IF(G270="","",ROUND(G270*(1-Supuestos!$B$3),0))</f>
        <v>1190</v>
      </c>
      <c r="I270" s="9" t="s">
        <v>795</v>
      </c>
      <c r="J270" s="9" t="s">
        <v>796</v>
      </c>
      <c r="K270" s="9" t="s">
        <v>797</v>
      </c>
      <c r="L270" s="9"/>
      <c r="M270" s="13" t="s">
        <v>804</v>
      </c>
    </row>
    <row r="271" customFormat="false" ht="15" hidden="false" customHeight="true" outlineLevel="0" collapsed="false">
      <c r="A271" s="9" t="s">
        <v>793</v>
      </c>
      <c r="B271" s="9" t="s">
        <v>805</v>
      </c>
      <c r="C271" s="9" t="s">
        <v>24</v>
      </c>
      <c r="D271" s="9" t="s">
        <v>25</v>
      </c>
      <c r="E271" s="10" t="n">
        <v>5</v>
      </c>
      <c r="F271" s="9" t="n">
        <v>3</v>
      </c>
      <c r="G271" s="11" t="n">
        <v>858</v>
      </c>
      <c r="H271" s="12" t="n">
        <f aca="false">IF(G271="","",ROUND(G271*(1-Supuestos!$B$3),0))</f>
        <v>601</v>
      </c>
      <c r="I271" s="9" t="s">
        <v>795</v>
      </c>
      <c r="J271" s="9" t="s">
        <v>796</v>
      </c>
      <c r="K271" s="9" t="s">
        <v>797</v>
      </c>
      <c r="L271" s="9"/>
      <c r="M271" s="13" t="s">
        <v>806</v>
      </c>
    </row>
    <row r="272" customFormat="false" ht="15" hidden="false" customHeight="true" outlineLevel="0" collapsed="false">
      <c r="A272" s="9" t="s">
        <v>793</v>
      </c>
      <c r="B272" s="9" t="s">
        <v>807</v>
      </c>
      <c r="C272" s="9" t="s">
        <v>24</v>
      </c>
      <c r="D272" s="9" t="s">
        <v>25</v>
      </c>
      <c r="E272" s="10" t="n">
        <v>4.9</v>
      </c>
      <c r="F272" s="9" t="n">
        <v>37</v>
      </c>
      <c r="G272" s="11" t="n">
        <v>1663</v>
      </c>
      <c r="H272" s="12" t="n">
        <f aca="false">IF(G272="","",ROUND(G272*(1-Supuestos!$B$3),0))</f>
        <v>1164</v>
      </c>
      <c r="I272" s="9" t="s">
        <v>795</v>
      </c>
      <c r="J272" s="9" t="s">
        <v>796</v>
      </c>
      <c r="K272" s="9" t="s">
        <v>797</v>
      </c>
      <c r="L272" s="9"/>
      <c r="M272" s="13" t="s">
        <v>808</v>
      </c>
    </row>
    <row r="273" customFormat="false" ht="15" hidden="false" customHeight="true" outlineLevel="0" collapsed="false">
      <c r="A273" s="9" t="s">
        <v>793</v>
      </c>
      <c r="B273" s="9" t="s">
        <v>809</v>
      </c>
      <c r="C273" s="9" t="s">
        <v>24</v>
      </c>
      <c r="D273" s="9" t="s">
        <v>88</v>
      </c>
      <c r="E273" s="10" t="n">
        <v>4.6</v>
      </c>
      <c r="F273" s="9" t="n">
        <v>13</v>
      </c>
      <c r="G273" s="11" t="n">
        <v>222</v>
      </c>
      <c r="H273" s="12" t="n">
        <f aca="false">IF(G273="","",ROUND(G273*(1-Supuestos!$B$3),0))</f>
        <v>155</v>
      </c>
      <c r="I273" s="9" t="s">
        <v>795</v>
      </c>
      <c r="J273" s="9" t="s">
        <v>796</v>
      </c>
      <c r="K273" s="9" t="s">
        <v>797</v>
      </c>
      <c r="L273" s="9"/>
      <c r="M273" s="13" t="s">
        <v>810</v>
      </c>
    </row>
    <row r="274" customFormat="false" ht="15" hidden="false" customHeight="true" outlineLevel="0" collapsed="false">
      <c r="A274" s="9" t="s">
        <v>793</v>
      </c>
      <c r="B274" s="9" t="s">
        <v>811</v>
      </c>
      <c r="C274" s="9" t="s">
        <v>24</v>
      </c>
      <c r="D274" s="9" t="s">
        <v>88</v>
      </c>
      <c r="E274" s="10" t="n">
        <v>4.7</v>
      </c>
      <c r="F274" s="9" t="n">
        <v>291</v>
      </c>
      <c r="G274" s="11" t="n">
        <v>67</v>
      </c>
      <c r="H274" s="12" t="n">
        <f aca="false">IF(G274="","",ROUND(G274*(1-Supuestos!$B$3),0))</f>
        <v>47</v>
      </c>
      <c r="I274" s="9" t="s">
        <v>795</v>
      </c>
      <c r="J274" s="9" t="s">
        <v>796</v>
      </c>
      <c r="K274" s="9" t="s">
        <v>797</v>
      </c>
      <c r="L274" s="9"/>
      <c r="M274" s="13" t="s">
        <v>812</v>
      </c>
    </row>
    <row r="275" customFormat="false" ht="15" hidden="false" customHeight="true" outlineLevel="0" collapsed="false">
      <c r="A275" s="9" t="s">
        <v>813</v>
      </c>
      <c r="B275" s="9" t="s">
        <v>814</v>
      </c>
      <c r="C275" s="9" t="s">
        <v>42</v>
      </c>
      <c r="D275" s="9" t="s">
        <v>50</v>
      </c>
      <c r="E275" s="10"/>
      <c r="F275" s="9" t="n">
        <v>0</v>
      </c>
      <c r="G275" s="11" t="n">
        <v>1200</v>
      </c>
      <c r="H275" s="12" t="n">
        <f aca="false">IF(G275="","",ROUND(G275*(1-Supuestos!$B$3),0))</f>
        <v>840</v>
      </c>
      <c r="I275" s="9" t="s">
        <v>815</v>
      </c>
      <c r="J275" s="9"/>
      <c r="K275" s="9"/>
      <c r="L275" s="9" t="s">
        <v>816</v>
      </c>
      <c r="M275" s="13" t="s">
        <v>817</v>
      </c>
    </row>
    <row r="276" customFormat="false" ht="15" hidden="false" customHeight="true" outlineLevel="0" collapsed="false">
      <c r="A276" s="9" t="s">
        <v>818</v>
      </c>
      <c r="B276" s="9" t="s">
        <v>819</v>
      </c>
      <c r="C276" s="9" t="s">
        <v>24</v>
      </c>
      <c r="D276" s="9" t="s">
        <v>88</v>
      </c>
      <c r="E276" s="10" t="n">
        <v>3</v>
      </c>
      <c r="F276" s="9" t="n">
        <v>2</v>
      </c>
      <c r="G276" s="11" t="n">
        <v>5550</v>
      </c>
      <c r="H276" s="12" t="n">
        <f aca="false">IF(G276="","",ROUND(G276*(1-Supuestos!$B$3),0))</f>
        <v>3885</v>
      </c>
      <c r="I276" s="9"/>
      <c r="J276" s="9"/>
      <c r="K276" s="9" t="s">
        <v>820</v>
      </c>
      <c r="L276" s="9"/>
      <c r="M276" s="13" t="s">
        <v>821</v>
      </c>
    </row>
    <row r="277" customFormat="false" ht="15" hidden="false" customHeight="true" outlineLevel="0" collapsed="false">
      <c r="A277" s="9" t="s">
        <v>822</v>
      </c>
      <c r="B277" s="9" t="s">
        <v>823</v>
      </c>
      <c r="C277" s="9" t="s">
        <v>24</v>
      </c>
      <c r="D277" s="9" t="s">
        <v>25</v>
      </c>
      <c r="E277" s="10" t="n">
        <v>5</v>
      </c>
      <c r="F277" s="9" t="n">
        <v>25</v>
      </c>
      <c r="G277" s="11" t="n">
        <v>1715</v>
      </c>
      <c r="H277" s="12" t="n">
        <f aca="false">IF(G277="","",ROUND(G277*(1-Supuestos!$B$3),0))</f>
        <v>1201</v>
      </c>
      <c r="I277" s="9" t="s">
        <v>824</v>
      </c>
      <c r="J277" s="9"/>
      <c r="K277" s="9"/>
      <c r="L277" s="9"/>
      <c r="M277" s="13" t="s">
        <v>825</v>
      </c>
    </row>
    <row r="278" customFormat="false" ht="15" hidden="false" customHeight="true" outlineLevel="0" collapsed="false">
      <c r="A278" s="9" t="s">
        <v>826</v>
      </c>
      <c r="B278" s="9" t="s">
        <v>827</v>
      </c>
      <c r="C278" s="9" t="s">
        <v>24</v>
      </c>
      <c r="D278" s="9" t="s">
        <v>25</v>
      </c>
      <c r="E278" s="10"/>
      <c r="F278" s="9" t="n">
        <v>0</v>
      </c>
      <c r="G278" s="11" t="n">
        <v>1150</v>
      </c>
      <c r="H278" s="12" t="n">
        <f aca="false">IF(G278="","",ROUND(G278*(1-Supuestos!$B$3),0))</f>
        <v>805</v>
      </c>
      <c r="I278" s="9"/>
      <c r="J278" s="9"/>
      <c r="K278" s="9"/>
      <c r="L278" s="9"/>
      <c r="M278" s="13" t="s">
        <v>828</v>
      </c>
    </row>
    <row r="279" customFormat="false" ht="15" hidden="false" customHeight="true" outlineLevel="0" collapsed="false">
      <c r="A279" s="9" t="s">
        <v>829</v>
      </c>
      <c r="B279" s="9" t="s">
        <v>830</v>
      </c>
      <c r="C279" s="9" t="s">
        <v>24</v>
      </c>
      <c r="D279" s="9" t="s">
        <v>50</v>
      </c>
      <c r="E279" s="10" t="n">
        <v>4.31</v>
      </c>
      <c r="F279" s="9" t="n">
        <v>10</v>
      </c>
      <c r="G279" s="11" t="n">
        <v>668.83</v>
      </c>
      <c r="H279" s="12" t="n">
        <f aca="false">IF(G279="","",ROUND(G279*(1-Supuestos!$B$3),0))</f>
        <v>468</v>
      </c>
      <c r="I279" s="9" t="s">
        <v>831</v>
      </c>
      <c r="J279" s="9"/>
      <c r="K279" s="9" t="s">
        <v>832</v>
      </c>
      <c r="L279" s="9" t="s">
        <v>833</v>
      </c>
      <c r="M279" s="13" t="s">
        <v>834</v>
      </c>
    </row>
    <row r="280" customFormat="false" ht="15" hidden="false" customHeight="true" outlineLevel="0" collapsed="false">
      <c r="A280" s="9" t="s">
        <v>829</v>
      </c>
      <c r="B280" s="9" t="s">
        <v>835</v>
      </c>
      <c r="C280" s="9" t="s">
        <v>24</v>
      </c>
      <c r="D280" s="9" t="s">
        <v>88</v>
      </c>
      <c r="E280" s="10" t="n">
        <v>4.55</v>
      </c>
      <c r="F280" s="9" t="n">
        <v>39</v>
      </c>
      <c r="G280" s="11" t="n">
        <v>289</v>
      </c>
      <c r="H280" s="12" t="n">
        <f aca="false">IF(G280="","",ROUND(G280*(1-Supuestos!$B$3),0))</f>
        <v>202</v>
      </c>
      <c r="I280" s="9" t="s">
        <v>831</v>
      </c>
      <c r="J280" s="9"/>
      <c r="K280" s="9" t="s">
        <v>832</v>
      </c>
      <c r="L280" s="9" t="s">
        <v>833</v>
      </c>
      <c r="M280" s="13" t="s">
        <v>836</v>
      </c>
    </row>
    <row r="281" customFormat="false" ht="15" hidden="false" customHeight="true" outlineLevel="0" collapsed="false">
      <c r="A281" s="9" t="s">
        <v>829</v>
      </c>
      <c r="B281" s="9" t="s">
        <v>837</v>
      </c>
      <c r="C281" s="9" t="s">
        <v>24</v>
      </c>
      <c r="D281" s="9" t="s">
        <v>25</v>
      </c>
      <c r="E281" s="10" t="n">
        <v>3.2</v>
      </c>
      <c r="F281" s="9" t="n">
        <v>30</v>
      </c>
      <c r="G281" s="11" t="n">
        <v>1050</v>
      </c>
      <c r="H281" s="12" t="n">
        <f aca="false">IF(G281="","",ROUND(G281*(1-Supuestos!$B$3),0))</f>
        <v>735</v>
      </c>
      <c r="I281" s="9" t="s">
        <v>831</v>
      </c>
      <c r="J281" s="9"/>
      <c r="K281" s="9" t="s">
        <v>832</v>
      </c>
      <c r="L281" s="9" t="s">
        <v>833</v>
      </c>
      <c r="M281" s="13" t="s">
        <v>838</v>
      </c>
    </row>
    <row r="282" customFormat="false" ht="15" hidden="false" customHeight="true" outlineLevel="0" collapsed="false">
      <c r="A282" s="9" t="s">
        <v>839</v>
      </c>
      <c r="B282" s="9" t="s">
        <v>840</v>
      </c>
      <c r="C282" s="9" t="s">
        <v>24</v>
      </c>
      <c r="D282" s="9" t="s">
        <v>50</v>
      </c>
      <c r="E282" s="10" t="n">
        <v>5</v>
      </c>
      <c r="F282" s="9" t="n">
        <v>3</v>
      </c>
      <c r="G282" s="11" t="n">
        <v>649</v>
      </c>
      <c r="H282" s="12" t="n">
        <f aca="false">IF(G282="","",ROUND(G282*(1-Supuestos!$B$3),0))</f>
        <v>454</v>
      </c>
      <c r="I282" s="9"/>
      <c r="J282" s="9"/>
      <c r="K282" s="9" t="s">
        <v>841</v>
      </c>
      <c r="L282" s="9"/>
      <c r="M282" s="13" t="s">
        <v>842</v>
      </c>
    </row>
    <row r="283" customFormat="false" ht="15" hidden="false" customHeight="true" outlineLevel="0" collapsed="false">
      <c r="A283" s="9" t="s">
        <v>839</v>
      </c>
      <c r="B283" s="9" t="s">
        <v>843</v>
      </c>
      <c r="C283" s="9" t="s">
        <v>24</v>
      </c>
      <c r="D283" s="9" t="s">
        <v>50</v>
      </c>
      <c r="E283" s="10" t="n">
        <v>4.94</v>
      </c>
      <c r="F283" s="9" t="n">
        <v>79</v>
      </c>
      <c r="G283" s="11" t="n">
        <v>750</v>
      </c>
      <c r="H283" s="12" t="n">
        <f aca="false">IF(G283="","",ROUND(G283*(1-Supuestos!$B$3),0))</f>
        <v>525</v>
      </c>
      <c r="I283" s="9"/>
      <c r="J283" s="9"/>
      <c r="K283" s="9" t="s">
        <v>841</v>
      </c>
      <c r="L283" s="9"/>
      <c r="M283" s="13" t="s">
        <v>844</v>
      </c>
    </row>
    <row r="284" customFormat="false" ht="15" hidden="false" customHeight="true" outlineLevel="0" collapsed="false">
      <c r="A284" s="9" t="s">
        <v>839</v>
      </c>
      <c r="B284" s="9" t="s">
        <v>843</v>
      </c>
      <c r="C284" s="9" t="s">
        <v>24</v>
      </c>
      <c r="D284" s="9" t="s">
        <v>38</v>
      </c>
      <c r="E284" s="10" t="n">
        <v>5</v>
      </c>
      <c r="F284" s="9" t="n">
        <v>1</v>
      </c>
      <c r="G284" s="11" t="n">
        <v>870</v>
      </c>
      <c r="H284" s="12" t="n">
        <f aca="false">IF(G284="","",ROUND(G284*(1-Supuestos!$B$3),0))</f>
        <v>609</v>
      </c>
      <c r="I284" s="9"/>
      <c r="J284" s="9"/>
      <c r="K284" s="9" t="s">
        <v>841</v>
      </c>
      <c r="L284" s="9"/>
      <c r="M284" s="13" t="s">
        <v>845</v>
      </c>
    </row>
    <row r="285" customFormat="false" ht="15" hidden="false" customHeight="true" outlineLevel="0" collapsed="false">
      <c r="A285" s="9" t="s">
        <v>846</v>
      </c>
      <c r="B285" s="9" t="s">
        <v>847</v>
      </c>
      <c r="C285" s="9" t="s">
        <v>24</v>
      </c>
      <c r="D285" s="9" t="s">
        <v>38</v>
      </c>
      <c r="E285" s="10" t="n">
        <v>4.91</v>
      </c>
      <c r="F285" s="9" t="n">
        <v>224</v>
      </c>
      <c r="G285" s="11" t="n">
        <v>796</v>
      </c>
      <c r="H285" s="12" t="n">
        <f aca="false">IF(G285="","",ROUND(G285*(1-Supuestos!$B$3),0))</f>
        <v>557</v>
      </c>
      <c r="I285" s="9"/>
      <c r="J285" s="9"/>
      <c r="K285" s="9"/>
      <c r="L285" s="9"/>
      <c r="M285" s="13" t="s">
        <v>848</v>
      </c>
    </row>
    <row r="286" customFormat="false" ht="15" hidden="false" customHeight="true" outlineLevel="0" collapsed="false">
      <c r="A286" s="9" t="s">
        <v>849</v>
      </c>
      <c r="B286" s="9" t="s">
        <v>850</v>
      </c>
      <c r="C286" s="9" t="s">
        <v>24</v>
      </c>
      <c r="D286" s="9" t="s">
        <v>38</v>
      </c>
      <c r="E286" s="10"/>
      <c r="F286" s="9" t="n">
        <v>0</v>
      </c>
      <c r="G286" s="11" t="n">
        <v>870</v>
      </c>
      <c r="H286" s="12" t="n">
        <f aca="false">IF(G286="","",ROUND(G286*(1-Supuestos!$B$3),0))</f>
        <v>609</v>
      </c>
      <c r="I286" s="9"/>
      <c r="J286" s="9"/>
      <c r="K286" s="9"/>
      <c r="L286" s="9"/>
      <c r="M286" s="13" t="s">
        <v>851</v>
      </c>
    </row>
    <row r="287" customFormat="false" ht="15" hidden="false" customHeight="true" outlineLevel="0" collapsed="false">
      <c r="A287" s="9" t="s">
        <v>852</v>
      </c>
      <c r="B287" s="9" t="s">
        <v>853</v>
      </c>
      <c r="C287" s="9" t="s">
        <v>42</v>
      </c>
      <c r="D287" s="9" t="s">
        <v>38</v>
      </c>
      <c r="E287" s="10"/>
      <c r="F287" s="9" t="n">
        <v>0</v>
      </c>
      <c r="G287" s="11" t="n">
        <v>1036</v>
      </c>
      <c r="H287" s="12" t="n">
        <f aca="false">IF(G287="","",ROUND(G287*(1-Supuestos!$B$3),0))</f>
        <v>725</v>
      </c>
      <c r="I287" s="9"/>
      <c r="J287" s="9"/>
      <c r="K287" s="9"/>
      <c r="L287" s="9"/>
      <c r="M287" s="13" t="s">
        <v>854</v>
      </c>
    </row>
    <row r="288" customFormat="false" ht="15" hidden="false" customHeight="true" outlineLevel="0" collapsed="false">
      <c r="A288" s="9" t="s">
        <v>855</v>
      </c>
      <c r="B288" s="9" t="s">
        <v>856</v>
      </c>
      <c r="C288" s="9" t="s">
        <v>24</v>
      </c>
      <c r="D288" s="9" t="s">
        <v>50</v>
      </c>
      <c r="E288" s="10" t="n">
        <v>4.86</v>
      </c>
      <c r="F288" s="9" t="n">
        <v>46</v>
      </c>
      <c r="G288" s="11" t="n">
        <v>1100</v>
      </c>
      <c r="H288" s="12" t="n">
        <f aca="false">IF(G288="","",ROUND(G288*(1-Supuestos!$B$3),0))</f>
        <v>770</v>
      </c>
      <c r="I288" s="9"/>
      <c r="J288" s="9"/>
      <c r="K288" s="9"/>
      <c r="L288" s="9"/>
      <c r="M288" s="13" t="s">
        <v>857</v>
      </c>
    </row>
    <row r="289" customFormat="false" ht="15" hidden="false" customHeight="true" outlineLevel="0" collapsed="false">
      <c r="A289" s="9" t="s">
        <v>858</v>
      </c>
      <c r="B289" s="9" t="s">
        <v>859</v>
      </c>
      <c r="C289" s="9" t="s">
        <v>24</v>
      </c>
      <c r="D289" s="9" t="s">
        <v>25</v>
      </c>
      <c r="E289" s="10" t="n">
        <v>5</v>
      </c>
      <c r="F289" s="9" t="n">
        <v>3</v>
      </c>
      <c r="G289" s="11" t="n">
        <v>2433</v>
      </c>
      <c r="H289" s="12" t="n">
        <f aca="false">IF(G289="","",ROUND(G289*(1-Supuestos!$B$3),0))</f>
        <v>1703</v>
      </c>
      <c r="I289" s="9" t="s">
        <v>860</v>
      </c>
      <c r="J289" s="9" t="s">
        <v>861</v>
      </c>
      <c r="K289" s="9"/>
      <c r="L289" s="9"/>
      <c r="M289" s="13" t="s">
        <v>862</v>
      </c>
    </row>
    <row r="290" customFormat="false" ht="15" hidden="false" customHeight="true" outlineLevel="0" collapsed="false">
      <c r="A290" s="9" t="s">
        <v>858</v>
      </c>
      <c r="B290" s="9" t="s">
        <v>863</v>
      </c>
      <c r="C290" s="9" t="s">
        <v>24</v>
      </c>
      <c r="D290" s="9" t="s">
        <v>25</v>
      </c>
      <c r="E290" s="10" t="n">
        <v>5</v>
      </c>
      <c r="F290" s="9" t="n">
        <v>1</v>
      </c>
      <c r="G290" s="11" t="n">
        <v>1138</v>
      </c>
      <c r="H290" s="12" t="n">
        <f aca="false">IF(G290="","",ROUND(G290*(1-Supuestos!$B$3),0))</f>
        <v>797</v>
      </c>
      <c r="I290" s="9" t="s">
        <v>860</v>
      </c>
      <c r="J290" s="9" t="s">
        <v>861</v>
      </c>
      <c r="K290" s="9"/>
      <c r="L290" s="9"/>
      <c r="M290" s="13" t="s">
        <v>864</v>
      </c>
    </row>
    <row r="291" customFormat="false" ht="15" hidden="false" customHeight="true" outlineLevel="0" collapsed="false">
      <c r="A291" s="9" t="s">
        <v>865</v>
      </c>
      <c r="B291" s="9" t="s">
        <v>866</v>
      </c>
      <c r="C291" s="9" t="s">
        <v>24</v>
      </c>
      <c r="D291" s="9" t="s">
        <v>50</v>
      </c>
      <c r="E291" s="10"/>
      <c r="F291" s="9" t="n">
        <v>0</v>
      </c>
      <c r="G291" s="11" t="n">
        <v>463.04</v>
      </c>
      <c r="H291" s="12" t="n">
        <f aca="false">IF(G291="","",ROUND(G291*(1-Supuestos!$B$3),0))</f>
        <v>324</v>
      </c>
      <c r="I291" s="9" t="s">
        <v>867</v>
      </c>
      <c r="J291" s="9"/>
      <c r="K291" s="9"/>
      <c r="L291" s="9"/>
      <c r="M291" s="13" t="s">
        <v>868</v>
      </c>
    </row>
    <row r="292" customFormat="false" ht="15" hidden="false" customHeight="true" outlineLevel="0" collapsed="false">
      <c r="A292" s="9" t="s">
        <v>869</v>
      </c>
      <c r="B292" s="9" t="s">
        <v>870</v>
      </c>
      <c r="C292" s="9" t="s">
        <v>24</v>
      </c>
      <c r="D292" s="9" t="s">
        <v>25</v>
      </c>
      <c r="E292" s="10"/>
      <c r="F292" s="9" t="n">
        <v>0</v>
      </c>
      <c r="G292" s="11" t="n">
        <v>733</v>
      </c>
      <c r="H292" s="12" t="n">
        <f aca="false">IF(G292="","",ROUND(G292*(1-Supuestos!$B$3),0))</f>
        <v>513</v>
      </c>
      <c r="I292" s="9"/>
      <c r="J292" s="9"/>
      <c r="K292" s="9"/>
      <c r="L292" s="9"/>
      <c r="M292" s="13" t="s">
        <v>871</v>
      </c>
    </row>
    <row r="293" customFormat="false" ht="15" hidden="false" customHeight="true" outlineLevel="0" collapsed="false">
      <c r="A293" s="9" t="s">
        <v>869</v>
      </c>
      <c r="B293" s="9" t="s">
        <v>870</v>
      </c>
      <c r="C293" s="9" t="s">
        <v>24</v>
      </c>
      <c r="D293" s="9" t="s">
        <v>50</v>
      </c>
      <c r="E293" s="10" t="n">
        <v>5</v>
      </c>
      <c r="F293" s="9" t="n">
        <v>1</v>
      </c>
      <c r="G293" s="11" t="n">
        <v>733</v>
      </c>
      <c r="H293" s="12" t="n">
        <f aca="false">IF(G293="","",ROUND(G293*(1-Supuestos!$B$3),0))</f>
        <v>513</v>
      </c>
      <c r="I293" s="9"/>
      <c r="J293" s="9"/>
      <c r="K293" s="9"/>
      <c r="L293" s="9"/>
      <c r="M293" s="13" t="s">
        <v>872</v>
      </c>
    </row>
    <row r="294" customFormat="false" ht="15" hidden="false" customHeight="true" outlineLevel="0" collapsed="false">
      <c r="A294" s="9" t="s">
        <v>869</v>
      </c>
      <c r="B294" s="9" t="s">
        <v>873</v>
      </c>
      <c r="C294" s="9" t="s">
        <v>24</v>
      </c>
      <c r="D294" s="9" t="s">
        <v>50</v>
      </c>
      <c r="E294" s="10"/>
      <c r="F294" s="9" t="n">
        <v>0</v>
      </c>
      <c r="G294" s="11" t="n">
        <v>600</v>
      </c>
      <c r="H294" s="12" t="n">
        <f aca="false">IF(G294="","",ROUND(G294*(1-Supuestos!$B$3),0))</f>
        <v>420</v>
      </c>
      <c r="I294" s="9"/>
      <c r="J294" s="9"/>
      <c r="K294" s="9"/>
      <c r="L294" s="9"/>
      <c r="M294" s="13" t="s">
        <v>874</v>
      </c>
    </row>
    <row r="295" customFormat="false" ht="15" hidden="false" customHeight="true" outlineLevel="0" collapsed="false">
      <c r="A295" s="9" t="s">
        <v>869</v>
      </c>
      <c r="B295" s="9" t="s">
        <v>875</v>
      </c>
      <c r="C295" s="9" t="s">
        <v>24</v>
      </c>
      <c r="D295" s="9" t="s">
        <v>50</v>
      </c>
      <c r="E295" s="10"/>
      <c r="F295" s="9" t="n">
        <v>0</v>
      </c>
      <c r="G295" s="11" t="n">
        <v>1100</v>
      </c>
      <c r="H295" s="12" t="n">
        <f aca="false">IF(G295="","",ROUND(G295*(1-Supuestos!$B$3),0))</f>
        <v>770</v>
      </c>
      <c r="I295" s="9"/>
      <c r="J295" s="9"/>
      <c r="K295" s="9"/>
      <c r="L295" s="9"/>
      <c r="M295" s="13" t="s">
        <v>876</v>
      </c>
    </row>
    <row r="296" customFormat="false" ht="15" hidden="false" customHeight="true" outlineLevel="0" collapsed="false">
      <c r="A296" s="9" t="s">
        <v>869</v>
      </c>
      <c r="B296" s="9" t="s">
        <v>877</v>
      </c>
      <c r="C296" s="9" t="s">
        <v>24</v>
      </c>
      <c r="D296" s="9" t="s">
        <v>50</v>
      </c>
      <c r="E296" s="10" t="n">
        <v>5</v>
      </c>
      <c r="F296" s="9" t="n">
        <v>1</v>
      </c>
      <c r="G296" s="11" t="n">
        <v>650</v>
      </c>
      <c r="H296" s="12" t="n">
        <f aca="false">IF(G296="","",ROUND(G296*(1-Supuestos!$B$3),0))</f>
        <v>455</v>
      </c>
      <c r="I296" s="9"/>
      <c r="J296" s="9"/>
      <c r="K296" s="9"/>
      <c r="L296" s="9"/>
      <c r="M296" s="13" t="s">
        <v>878</v>
      </c>
    </row>
    <row r="297" customFormat="false" ht="15" hidden="false" customHeight="true" outlineLevel="0" collapsed="false">
      <c r="A297" s="9" t="s">
        <v>869</v>
      </c>
      <c r="B297" s="9" t="s">
        <v>879</v>
      </c>
      <c r="C297" s="9" t="s">
        <v>24</v>
      </c>
      <c r="D297" s="9" t="s">
        <v>50</v>
      </c>
      <c r="E297" s="10"/>
      <c r="F297" s="9" t="n">
        <v>0</v>
      </c>
      <c r="G297" s="11" t="n">
        <v>500</v>
      </c>
      <c r="H297" s="12" t="n">
        <f aca="false">IF(G297="","",ROUND(G297*(1-Supuestos!$B$3),0))</f>
        <v>350</v>
      </c>
      <c r="I297" s="9"/>
      <c r="J297" s="9"/>
      <c r="K297" s="9"/>
      <c r="L297" s="9"/>
      <c r="M297" s="13" t="s">
        <v>880</v>
      </c>
    </row>
    <row r="298" customFormat="false" ht="15" hidden="false" customHeight="true" outlineLevel="0" collapsed="false">
      <c r="A298" s="9" t="s">
        <v>881</v>
      </c>
      <c r="B298" s="9" t="s">
        <v>882</v>
      </c>
      <c r="C298" s="9" t="s">
        <v>24</v>
      </c>
      <c r="D298" s="9" t="s">
        <v>38</v>
      </c>
      <c r="E298" s="10" t="n">
        <v>5</v>
      </c>
      <c r="F298" s="9" t="n">
        <v>87</v>
      </c>
      <c r="G298" s="11" t="n">
        <v>925</v>
      </c>
      <c r="H298" s="12" t="n">
        <f aca="false">IF(G298="","",ROUND(G298*(1-Supuestos!$B$3),0))</f>
        <v>648</v>
      </c>
      <c r="I298" s="9"/>
      <c r="J298" s="9"/>
      <c r="K298" s="9"/>
      <c r="L298" s="9"/>
      <c r="M298" s="13" t="s">
        <v>883</v>
      </c>
    </row>
    <row r="299" customFormat="false" ht="15" hidden="false" customHeight="true" outlineLevel="0" collapsed="false">
      <c r="A299" s="9" t="s">
        <v>884</v>
      </c>
      <c r="B299" s="9" t="s">
        <v>885</v>
      </c>
      <c r="C299" s="9" t="s">
        <v>24</v>
      </c>
      <c r="D299" s="9" t="s">
        <v>50</v>
      </c>
      <c r="E299" s="10"/>
      <c r="F299" s="9" t="n">
        <v>0</v>
      </c>
      <c r="G299" s="11" t="n">
        <v>463.04</v>
      </c>
      <c r="H299" s="12" t="n">
        <f aca="false">IF(G299="","",ROUND(G299*(1-Supuestos!$B$3),0))</f>
        <v>324</v>
      </c>
      <c r="I299" s="9"/>
      <c r="J299" s="9"/>
      <c r="K299" s="9"/>
      <c r="L299" s="9"/>
      <c r="M299" s="13" t="s">
        <v>886</v>
      </c>
    </row>
    <row r="300" customFormat="false" ht="15" hidden="false" customHeight="true" outlineLevel="0" collapsed="false">
      <c r="A300" s="9" t="s">
        <v>887</v>
      </c>
      <c r="B300" s="9" t="s">
        <v>888</v>
      </c>
      <c r="C300" s="9" t="s">
        <v>46</v>
      </c>
      <c r="D300" s="9" t="s">
        <v>38</v>
      </c>
      <c r="E300" s="10" t="n">
        <v>4.88</v>
      </c>
      <c r="F300" s="9" t="n">
        <v>168</v>
      </c>
      <c r="G300" s="11" t="n">
        <v>1184</v>
      </c>
      <c r="H300" s="12" t="n">
        <f aca="false">IF(G300="","",ROUND(G300*(1-Supuestos!$B$3),0))</f>
        <v>829</v>
      </c>
      <c r="I300" s="9" t="s">
        <v>889</v>
      </c>
      <c r="J300" s="9" t="s">
        <v>890</v>
      </c>
      <c r="K300" s="9" t="s">
        <v>891</v>
      </c>
      <c r="L300" s="9"/>
      <c r="M300" s="13" t="s">
        <v>892</v>
      </c>
    </row>
    <row r="301" customFormat="false" ht="15" hidden="false" customHeight="true" outlineLevel="0" collapsed="false">
      <c r="A301" s="9" t="s">
        <v>887</v>
      </c>
      <c r="B301" s="9" t="s">
        <v>893</v>
      </c>
      <c r="C301" s="9" t="s">
        <v>24</v>
      </c>
      <c r="D301" s="9" t="s">
        <v>88</v>
      </c>
      <c r="E301" s="10" t="n">
        <v>4.8</v>
      </c>
      <c r="F301" s="9" t="n">
        <v>11</v>
      </c>
      <c r="G301" s="11" t="n">
        <v>4436</v>
      </c>
      <c r="H301" s="12" t="n">
        <f aca="false">IF(G301="","",ROUND(G301*(1-Supuestos!$B$3),0))</f>
        <v>3105</v>
      </c>
      <c r="I301" s="9" t="s">
        <v>889</v>
      </c>
      <c r="J301" s="9" t="s">
        <v>890</v>
      </c>
      <c r="K301" s="9" t="s">
        <v>891</v>
      </c>
      <c r="L301" s="9"/>
      <c r="M301" s="13" t="s">
        <v>894</v>
      </c>
    </row>
    <row r="302" customFormat="false" ht="15" hidden="false" customHeight="true" outlineLevel="0" collapsed="false">
      <c r="A302" s="9" t="s">
        <v>887</v>
      </c>
      <c r="B302" s="9" t="s">
        <v>893</v>
      </c>
      <c r="C302" s="9" t="s">
        <v>24</v>
      </c>
      <c r="D302" s="9" t="s">
        <v>25</v>
      </c>
      <c r="E302" s="10" t="n">
        <v>4.9</v>
      </c>
      <c r="F302" s="9" t="n">
        <v>233</v>
      </c>
      <c r="G302" s="11" t="n">
        <v>910</v>
      </c>
      <c r="H302" s="12" t="n">
        <f aca="false">IF(G302="","",ROUND(G302*(1-Supuestos!$B$3),0))</f>
        <v>637</v>
      </c>
      <c r="I302" s="9" t="s">
        <v>889</v>
      </c>
      <c r="J302" s="9" t="s">
        <v>890</v>
      </c>
      <c r="K302" s="9" t="s">
        <v>891</v>
      </c>
      <c r="L302" s="9"/>
      <c r="M302" s="13" t="s">
        <v>895</v>
      </c>
    </row>
    <row r="303" customFormat="false" ht="15" hidden="false" customHeight="true" outlineLevel="0" collapsed="false">
      <c r="A303" s="9" t="s">
        <v>896</v>
      </c>
      <c r="B303" s="9" t="s">
        <v>897</v>
      </c>
      <c r="C303" s="9" t="s">
        <v>24</v>
      </c>
      <c r="D303" s="9" t="s">
        <v>25</v>
      </c>
      <c r="E303" s="10" t="n">
        <v>5</v>
      </c>
      <c r="F303" s="9" t="n">
        <v>1</v>
      </c>
      <c r="G303" s="11" t="n">
        <v>1750</v>
      </c>
      <c r="H303" s="12" t="n">
        <f aca="false">IF(G303="","",ROUND(G303*(1-Supuestos!$B$3),0))</f>
        <v>1225</v>
      </c>
      <c r="I303" s="9"/>
      <c r="J303" s="9"/>
      <c r="K303" s="9"/>
      <c r="L303" s="9"/>
      <c r="M303" s="13" t="s">
        <v>898</v>
      </c>
    </row>
    <row r="304" customFormat="false" ht="15" hidden="false" customHeight="true" outlineLevel="0" collapsed="false">
      <c r="A304" s="9" t="s">
        <v>899</v>
      </c>
      <c r="B304" s="9" t="s">
        <v>900</v>
      </c>
      <c r="C304" s="9" t="s">
        <v>24</v>
      </c>
      <c r="D304" s="9" t="s">
        <v>38</v>
      </c>
      <c r="E304" s="10" t="n">
        <v>4.9</v>
      </c>
      <c r="F304" s="9" t="n">
        <v>301</v>
      </c>
      <c r="G304" s="11" t="n">
        <v>555</v>
      </c>
      <c r="H304" s="12" t="n">
        <f aca="false">IF(G304="","",ROUND(G304*(1-Supuestos!$B$3),0))</f>
        <v>389</v>
      </c>
      <c r="I304" s="9" t="s">
        <v>901</v>
      </c>
      <c r="J304" s="9" t="s">
        <v>902</v>
      </c>
      <c r="K304" s="9" t="s">
        <v>903</v>
      </c>
      <c r="L304" s="9"/>
      <c r="M304" s="13" t="s">
        <v>904</v>
      </c>
    </row>
    <row r="305" customFormat="false" ht="15" hidden="false" customHeight="true" outlineLevel="0" collapsed="false">
      <c r="A305" s="9" t="s">
        <v>899</v>
      </c>
      <c r="B305" s="9" t="s">
        <v>900</v>
      </c>
      <c r="C305" s="9" t="s">
        <v>24</v>
      </c>
      <c r="D305" s="9" t="s">
        <v>25</v>
      </c>
      <c r="E305" s="10" t="n">
        <v>4.8</v>
      </c>
      <c r="F305" s="9" t="n">
        <v>16</v>
      </c>
      <c r="G305" s="11" t="n">
        <v>578</v>
      </c>
      <c r="H305" s="12" t="n">
        <f aca="false">IF(G305="","",ROUND(G305*(1-Supuestos!$B$3),0))</f>
        <v>405</v>
      </c>
      <c r="I305" s="9" t="s">
        <v>901</v>
      </c>
      <c r="J305" s="9" t="s">
        <v>902</v>
      </c>
      <c r="K305" s="9" t="s">
        <v>903</v>
      </c>
      <c r="L305" s="9"/>
      <c r="M305" s="13" t="s">
        <v>905</v>
      </c>
    </row>
    <row r="306" customFormat="false" ht="15" hidden="false" customHeight="true" outlineLevel="0" collapsed="false">
      <c r="A306" s="9" t="s">
        <v>899</v>
      </c>
      <c r="B306" s="9" t="s">
        <v>906</v>
      </c>
      <c r="C306" s="9" t="s">
        <v>24</v>
      </c>
      <c r="D306" s="9" t="s">
        <v>38</v>
      </c>
      <c r="E306" s="10"/>
      <c r="F306" s="9" t="n">
        <v>0</v>
      </c>
      <c r="G306" s="11" t="n">
        <v>814</v>
      </c>
      <c r="H306" s="12" t="n">
        <f aca="false">IF(G306="","",ROUND(G306*(1-Supuestos!$B$3),0))</f>
        <v>570</v>
      </c>
      <c r="I306" s="9" t="s">
        <v>901</v>
      </c>
      <c r="J306" s="9" t="s">
        <v>902</v>
      </c>
      <c r="K306" s="9" t="s">
        <v>903</v>
      </c>
      <c r="L306" s="9"/>
      <c r="M306" s="13" t="s">
        <v>907</v>
      </c>
    </row>
    <row r="307" customFormat="false" ht="15" hidden="false" customHeight="true" outlineLevel="0" collapsed="false">
      <c r="A307" s="9" t="s">
        <v>899</v>
      </c>
      <c r="B307" s="9" t="s">
        <v>908</v>
      </c>
      <c r="C307" s="9" t="s">
        <v>24</v>
      </c>
      <c r="D307" s="9" t="s">
        <v>38</v>
      </c>
      <c r="E307" s="10" t="n">
        <v>5</v>
      </c>
      <c r="F307" s="9" t="n">
        <v>4</v>
      </c>
      <c r="G307" s="11" t="n">
        <v>629</v>
      </c>
      <c r="H307" s="12" t="n">
        <f aca="false">IF(G307="","",ROUND(G307*(1-Supuestos!$B$3),0))</f>
        <v>440</v>
      </c>
      <c r="I307" s="9" t="s">
        <v>901</v>
      </c>
      <c r="J307" s="9" t="s">
        <v>902</v>
      </c>
      <c r="K307" s="9" t="s">
        <v>903</v>
      </c>
      <c r="L307" s="9"/>
      <c r="M307" s="13" t="s">
        <v>909</v>
      </c>
    </row>
    <row r="308" customFormat="false" ht="15" hidden="false" customHeight="true" outlineLevel="0" collapsed="false">
      <c r="A308" s="9" t="s">
        <v>899</v>
      </c>
      <c r="B308" s="9" t="s">
        <v>910</v>
      </c>
      <c r="C308" s="9" t="s">
        <v>24</v>
      </c>
      <c r="D308" s="9" t="s">
        <v>38</v>
      </c>
      <c r="E308" s="10" t="n">
        <v>4.96</v>
      </c>
      <c r="F308" s="9" t="n">
        <v>1663</v>
      </c>
      <c r="G308" s="11" t="n">
        <v>758</v>
      </c>
      <c r="H308" s="12" t="n">
        <f aca="false">IF(G308="","",ROUND(G308*(1-Supuestos!$B$3),0))</f>
        <v>531</v>
      </c>
      <c r="I308" s="9" t="s">
        <v>901</v>
      </c>
      <c r="J308" s="9" t="s">
        <v>902</v>
      </c>
      <c r="K308" s="9" t="s">
        <v>903</v>
      </c>
      <c r="L308" s="9"/>
      <c r="M308" s="13" t="s">
        <v>911</v>
      </c>
    </row>
    <row r="309" customFormat="false" ht="15" hidden="false" customHeight="true" outlineLevel="0" collapsed="false">
      <c r="A309" s="9" t="s">
        <v>912</v>
      </c>
      <c r="B309" s="9" t="s">
        <v>913</v>
      </c>
      <c r="C309" s="9" t="s">
        <v>24</v>
      </c>
      <c r="D309" s="9" t="s">
        <v>38</v>
      </c>
      <c r="E309" s="10"/>
      <c r="F309" s="9" t="n">
        <v>0</v>
      </c>
      <c r="G309" s="11" t="n">
        <v>814</v>
      </c>
      <c r="H309" s="12" t="n">
        <f aca="false">IF(G309="","",ROUND(G309*(1-Supuestos!$B$3),0))</f>
        <v>570</v>
      </c>
      <c r="I309" s="9"/>
      <c r="J309" s="9"/>
      <c r="K309" s="9"/>
      <c r="L309" s="9"/>
      <c r="M309" s="13" t="s">
        <v>914</v>
      </c>
    </row>
    <row r="310" customFormat="false" ht="15" hidden="false" customHeight="true" outlineLevel="0" collapsed="false">
      <c r="A310" s="9" t="s">
        <v>915</v>
      </c>
      <c r="B310" s="9" t="s">
        <v>916</v>
      </c>
      <c r="C310" s="9" t="s">
        <v>24</v>
      </c>
      <c r="D310" s="9" t="s">
        <v>25</v>
      </c>
      <c r="E310" s="10"/>
      <c r="F310" s="9" t="n">
        <v>0</v>
      </c>
      <c r="G310" s="11" t="n">
        <v>7333</v>
      </c>
      <c r="H310" s="12" t="n">
        <f aca="false">IF(G310="","",ROUND(G310*(1-Supuestos!$B$3),0))</f>
        <v>5133</v>
      </c>
      <c r="I310" s="9" t="s">
        <v>917</v>
      </c>
      <c r="J310" s="9" t="s">
        <v>918</v>
      </c>
      <c r="K310" s="9" t="s">
        <v>919</v>
      </c>
      <c r="L310" s="9"/>
      <c r="M310" s="13" t="s">
        <v>920</v>
      </c>
    </row>
    <row r="311" customFormat="false" ht="15" hidden="false" customHeight="true" outlineLevel="0" collapsed="false">
      <c r="A311" s="9" t="s">
        <v>915</v>
      </c>
      <c r="B311" s="9" t="s">
        <v>916</v>
      </c>
      <c r="C311" s="9" t="s">
        <v>24</v>
      </c>
      <c r="D311" s="9" t="s">
        <v>50</v>
      </c>
      <c r="E311" s="10"/>
      <c r="F311" s="9" t="n">
        <v>0</v>
      </c>
      <c r="G311" s="11" t="n">
        <v>9065.6</v>
      </c>
      <c r="H311" s="12" t="n">
        <f aca="false">IF(G311="","",ROUND(G311*(1-Supuestos!$B$3),0))</f>
        <v>6346</v>
      </c>
      <c r="I311" s="9" t="s">
        <v>917</v>
      </c>
      <c r="J311" s="9" t="s">
        <v>918</v>
      </c>
      <c r="K311" s="9" t="s">
        <v>919</v>
      </c>
      <c r="L311" s="9"/>
      <c r="M311" s="13" t="s">
        <v>921</v>
      </c>
    </row>
    <row r="312" customFormat="false" ht="15" hidden="false" customHeight="true" outlineLevel="0" collapsed="false">
      <c r="A312" s="9" t="s">
        <v>915</v>
      </c>
      <c r="B312" s="9" t="s">
        <v>922</v>
      </c>
      <c r="C312" s="9" t="s">
        <v>24</v>
      </c>
      <c r="D312" s="9" t="s">
        <v>25</v>
      </c>
      <c r="E312" s="10" t="n">
        <v>5</v>
      </c>
      <c r="F312" s="9" t="n">
        <v>1</v>
      </c>
      <c r="G312" s="11" t="n">
        <v>6633</v>
      </c>
      <c r="H312" s="12" t="n">
        <f aca="false">IF(G312="","",ROUND(G312*(1-Supuestos!$B$3),0))</f>
        <v>4643</v>
      </c>
      <c r="I312" s="9" t="s">
        <v>917</v>
      </c>
      <c r="J312" s="9" t="s">
        <v>918</v>
      </c>
      <c r="K312" s="9" t="s">
        <v>919</v>
      </c>
      <c r="L312" s="9"/>
      <c r="M312" s="13" t="s">
        <v>923</v>
      </c>
    </row>
    <row r="313" customFormat="false" ht="15" hidden="false" customHeight="true" outlineLevel="0" collapsed="false">
      <c r="A313" s="9" t="s">
        <v>915</v>
      </c>
      <c r="B313" s="9" t="s">
        <v>922</v>
      </c>
      <c r="C313" s="9" t="s">
        <v>24</v>
      </c>
      <c r="D313" s="9" t="s">
        <v>50</v>
      </c>
      <c r="E313" s="10" t="n">
        <v>5</v>
      </c>
      <c r="F313" s="9" t="n">
        <v>1</v>
      </c>
      <c r="G313" s="11" t="n">
        <v>9045.81</v>
      </c>
      <c r="H313" s="12" t="n">
        <f aca="false">IF(G313="","",ROUND(G313*(1-Supuestos!$B$3),0))</f>
        <v>6332</v>
      </c>
      <c r="I313" s="9" t="s">
        <v>917</v>
      </c>
      <c r="J313" s="9" t="s">
        <v>918</v>
      </c>
      <c r="K313" s="9" t="s">
        <v>919</v>
      </c>
      <c r="L313" s="9"/>
      <c r="M313" s="13" t="s">
        <v>924</v>
      </c>
    </row>
    <row r="314" customFormat="false" ht="15" hidden="false" customHeight="true" outlineLevel="0" collapsed="false">
      <c r="A314" s="9" t="s">
        <v>915</v>
      </c>
      <c r="B314" s="9" t="s">
        <v>925</v>
      </c>
      <c r="C314" s="9" t="s">
        <v>24</v>
      </c>
      <c r="D314" s="9" t="s">
        <v>50</v>
      </c>
      <c r="E314" s="10"/>
      <c r="F314" s="9" t="n">
        <v>0</v>
      </c>
      <c r="G314" s="11" t="n">
        <v>49801.42</v>
      </c>
      <c r="H314" s="12" t="n">
        <f aca="false">IF(G314="","",ROUND(G314*(1-Supuestos!$B$3),0))</f>
        <v>34861</v>
      </c>
      <c r="I314" s="9" t="s">
        <v>917</v>
      </c>
      <c r="J314" s="9" t="s">
        <v>918</v>
      </c>
      <c r="K314" s="9" t="s">
        <v>919</v>
      </c>
      <c r="L314" s="9"/>
      <c r="M314" s="13" t="s">
        <v>926</v>
      </c>
    </row>
    <row r="315" customFormat="false" ht="15" hidden="false" customHeight="true" outlineLevel="0" collapsed="false">
      <c r="A315" s="9" t="s">
        <v>927</v>
      </c>
      <c r="B315" s="9" t="s">
        <v>928</v>
      </c>
      <c r="C315" s="9" t="s">
        <v>24</v>
      </c>
      <c r="D315" s="9" t="s">
        <v>38</v>
      </c>
      <c r="E315" s="10"/>
      <c r="F315" s="9" t="n">
        <v>0</v>
      </c>
      <c r="G315" s="11" t="n">
        <v>610</v>
      </c>
      <c r="H315" s="12" t="n">
        <f aca="false">IF(G315="","",ROUND(G315*(1-Supuestos!$B$3),0))</f>
        <v>427</v>
      </c>
      <c r="I315" s="9"/>
      <c r="J315" s="9"/>
      <c r="K315" s="9"/>
      <c r="L315" s="9"/>
      <c r="M315" s="13" t="s">
        <v>929</v>
      </c>
    </row>
    <row r="316" customFormat="false" ht="15" hidden="false" customHeight="true" outlineLevel="0" collapsed="false">
      <c r="A316" s="9" t="s">
        <v>930</v>
      </c>
      <c r="B316" s="9" t="s">
        <v>931</v>
      </c>
      <c r="C316" s="9" t="s">
        <v>46</v>
      </c>
      <c r="D316" s="9" t="s">
        <v>25</v>
      </c>
      <c r="E316" s="10"/>
      <c r="F316" s="9" t="n">
        <v>0</v>
      </c>
      <c r="G316" s="11" t="n">
        <v>3063</v>
      </c>
      <c r="H316" s="12" t="n">
        <f aca="false">IF(G316="","",ROUND(G316*(1-Supuestos!$B$3),0))</f>
        <v>2144</v>
      </c>
      <c r="I316" s="9"/>
      <c r="J316" s="9"/>
      <c r="K316" s="9"/>
      <c r="L316" s="9"/>
      <c r="M316" s="13" t="s">
        <v>932</v>
      </c>
    </row>
    <row r="317" customFormat="false" ht="15" hidden="false" customHeight="true" outlineLevel="0" collapsed="false">
      <c r="A317" s="9" t="s">
        <v>933</v>
      </c>
      <c r="B317" s="9" t="s">
        <v>934</v>
      </c>
      <c r="C317" s="9" t="s">
        <v>24</v>
      </c>
      <c r="D317" s="9" t="s">
        <v>25</v>
      </c>
      <c r="E317" s="10" t="n">
        <v>5</v>
      </c>
      <c r="F317" s="9" t="n">
        <v>2</v>
      </c>
      <c r="G317" s="11" t="n">
        <v>963</v>
      </c>
      <c r="H317" s="12" t="n">
        <f aca="false">IF(G317="","",ROUND(G317*(1-Supuestos!$B$3),0))</f>
        <v>674</v>
      </c>
      <c r="I317" s="9"/>
      <c r="J317" s="9"/>
      <c r="K317" s="9"/>
      <c r="L317" s="9"/>
      <c r="M317" s="13" t="s">
        <v>935</v>
      </c>
    </row>
    <row r="318" customFormat="false" ht="15" hidden="false" customHeight="true" outlineLevel="0" collapsed="false">
      <c r="A318" s="9" t="s">
        <v>936</v>
      </c>
      <c r="B318" s="9" t="s">
        <v>937</v>
      </c>
      <c r="C318" s="9" t="s">
        <v>24</v>
      </c>
      <c r="D318" s="9" t="s">
        <v>38</v>
      </c>
      <c r="E318" s="10" t="n">
        <v>1</v>
      </c>
      <c r="F318" s="9" t="n">
        <v>1</v>
      </c>
      <c r="G318" s="11" t="n">
        <v>574</v>
      </c>
      <c r="H318" s="12" t="n">
        <f aca="false">IF(G318="","",ROUND(G318*(1-Supuestos!$B$3),0))</f>
        <v>402</v>
      </c>
      <c r="I318" s="9"/>
      <c r="J318" s="9"/>
      <c r="K318" s="9"/>
      <c r="L318" s="9"/>
      <c r="M318" s="13" t="s">
        <v>938</v>
      </c>
    </row>
    <row r="319" customFormat="false" ht="15" hidden="false" customHeight="true" outlineLevel="0" collapsed="false">
      <c r="A319" s="9" t="s">
        <v>939</v>
      </c>
      <c r="B319" s="9" t="s">
        <v>940</v>
      </c>
      <c r="C319" s="9" t="s">
        <v>42</v>
      </c>
      <c r="D319" s="9" t="s">
        <v>25</v>
      </c>
      <c r="E319" s="10" t="n">
        <v>4.9</v>
      </c>
      <c r="F319" s="9" t="n">
        <v>45</v>
      </c>
      <c r="G319" s="11" t="n">
        <v>1365</v>
      </c>
      <c r="H319" s="12" t="n">
        <f aca="false">IF(G319="","",ROUND(G319*(1-Supuestos!$B$3),0))</f>
        <v>955</v>
      </c>
      <c r="I319" s="9" t="s">
        <v>941</v>
      </c>
      <c r="J319" s="9" t="s">
        <v>942</v>
      </c>
      <c r="K319" s="9" t="s">
        <v>943</v>
      </c>
      <c r="L319" s="9" t="s">
        <v>944</v>
      </c>
      <c r="M319" s="13" t="s">
        <v>945</v>
      </c>
    </row>
    <row r="320" customFormat="false" ht="15" hidden="false" customHeight="true" outlineLevel="0" collapsed="false">
      <c r="A320" s="9" t="s">
        <v>939</v>
      </c>
      <c r="B320" s="9" t="s">
        <v>946</v>
      </c>
      <c r="C320" s="9" t="s">
        <v>42</v>
      </c>
      <c r="D320" s="9" t="s">
        <v>25</v>
      </c>
      <c r="E320" s="10" t="n">
        <v>5</v>
      </c>
      <c r="F320" s="9" t="n">
        <v>25</v>
      </c>
      <c r="G320" s="11" t="n">
        <v>1155</v>
      </c>
      <c r="H320" s="12" t="n">
        <f aca="false">IF(G320="","",ROUND(G320*(1-Supuestos!$B$3),0))</f>
        <v>809</v>
      </c>
      <c r="I320" s="9" t="s">
        <v>941</v>
      </c>
      <c r="J320" s="9" t="s">
        <v>942</v>
      </c>
      <c r="K320" s="9" t="s">
        <v>943</v>
      </c>
      <c r="L320" s="9" t="s">
        <v>944</v>
      </c>
      <c r="M320" s="13" t="s">
        <v>947</v>
      </c>
    </row>
    <row r="321" customFormat="false" ht="15" hidden="false" customHeight="true" outlineLevel="0" collapsed="false">
      <c r="A321" s="9" t="s">
        <v>939</v>
      </c>
      <c r="B321" s="9" t="s">
        <v>948</v>
      </c>
      <c r="C321" s="9" t="s">
        <v>24</v>
      </c>
      <c r="D321" s="9" t="s">
        <v>25</v>
      </c>
      <c r="E321" s="10" t="n">
        <v>4.8</v>
      </c>
      <c r="F321" s="9" t="n">
        <v>32</v>
      </c>
      <c r="G321" s="11" t="n">
        <v>1155</v>
      </c>
      <c r="H321" s="12" t="n">
        <f aca="false">IF(G321="","",ROUND(G321*(1-Supuestos!$B$3),0))</f>
        <v>809</v>
      </c>
      <c r="I321" s="9" t="s">
        <v>941</v>
      </c>
      <c r="J321" s="9" t="s">
        <v>942</v>
      </c>
      <c r="K321" s="9" t="s">
        <v>943</v>
      </c>
      <c r="L321" s="9" t="s">
        <v>944</v>
      </c>
      <c r="M321" s="13" t="s">
        <v>949</v>
      </c>
    </row>
    <row r="322" customFormat="false" ht="15" hidden="false" customHeight="true" outlineLevel="0" collapsed="false">
      <c r="A322" s="9" t="s">
        <v>950</v>
      </c>
      <c r="B322" s="9" t="s">
        <v>951</v>
      </c>
      <c r="C322" s="9" t="s">
        <v>24</v>
      </c>
      <c r="D322" s="9" t="s">
        <v>38</v>
      </c>
      <c r="E322" s="10" t="n">
        <v>5</v>
      </c>
      <c r="F322" s="9" t="n">
        <v>4</v>
      </c>
      <c r="G322" s="11" t="n">
        <v>703</v>
      </c>
      <c r="H322" s="12" t="n">
        <f aca="false">IF(G322="","",ROUND(G322*(1-Supuestos!$B$3),0))</f>
        <v>492</v>
      </c>
      <c r="I322" s="9" t="s">
        <v>952</v>
      </c>
      <c r="J322" s="9"/>
      <c r="K322" s="9" t="s">
        <v>953</v>
      </c>
      <c r="L322" s="9"/>
      <c r="M322" s="13" t="s">
        <v>954</v>
      </c>
    </row>
    <row r="323" customFormat="false" ht="15" hidden="false" customHeight="true" outlineLevel="0" collapsed="false">
      <c r="A323" s="9" t="s">
        <v>950</v>
      </c>
      <c r="B323" s="9" t="s">
        <v>955</v>
      </c>
      <c r="C323" s="9" t="s">
        <v>24</v>
      </c>
      <c r="D323" s="9" t="s">
        <v>38</v>
      </c>
      <c r="E323" s="10" t="n">
        <v>5</v>
      </c>
      <c r="F323" s="9" t="n">
        <v>40</v>
      </c>
      <c r="G323" s="11" t="n">
        <v>2109</v>
      </c>
      <c r="H323" s="12" t="n">
        <f aca="false">IF(G323="","",ROUND(G323*(1-Supuestos!$B$3),0))</f>
        <v>1476</v>
      </c>
      <c r="I323" s="9" t="s">
        <v>952</v>
      </c>
      <c r="J323" s="9"/>
      <c r="K323" s="9" t="s">
        <v>953</v>
      </c>
      <c r="L323" s="9"/>
      <c r="M323" s="13" t="s">
        <v>956</v>
      </c>
    </row>
    <row r="324" customFormat="false" ht="15" hidden="false" customHeight="true" outlineLevel="0" collapsed="false">
      <c r="A324" s="9" t="s">
        <v>957</v>
      </c>
      <c r="B324" s="9" t="s">
        <v>958</v>
      </c>
      <c r="C324" s="9" t="s">
        <v>46</v>
      </c>
      <c r="D324" s="9" t="s">
        <v>50</v>
      </c>
      <c r="E324" s="10"/>
      <c r="F324" s="9" t="n">
        <v>0</v>
      </c>
      <c r="G324" s="11" t="n">
        <v>800</v>
      </c>
      <c r="H324" s="12" t="n">
        <f aca="false">IF(G324="","",ROUND(G324*(1-Supuestos!$B$3),0))</f>
        <v>560</v>
      </c>
      <c r="I324" s="9" t="s">
        <v>959</v>
      </c>
      <c r="J324" s="9" t="s">
        <v>960</v>
      </c>
      <c r="K324" s="9"/>
      <c r="L324" s="9"/>
      <c r="M324" s="13" t="s">
        <v>961</v>
      </c>
    </row>
    <row r="325" customFormat="false" ht="15" hidden="false" customHeight="true" outlineLevel="0" collapsed="false">
      <c r="A325" s="9" t="s">
        <v>957</v>
      </c>
      <c r="B325" s="9" t="s">
        <v>962</v>
      </c>
      <c r="C325" s="9" t="s">
        <v>24</v>
      </c>
      <c r="D325" s="9" t="s">
        <v>50</v>
      </c>
      <c r="E325" s="10" t="n">
        <v>4.69</v>
      </c>
      <c r="F325" s="9" t="n">
        <v>19</v>
      </c>
      <c r="G325" s="11" t="n">
        <v>1300</v>
      </c>
      <c r="H325" s="12" t="n">
        <f aca="false">IF(G325="","",ROUND(G325*(1-Supuestos!$B$3),0))</f>
        <v>910</v>
      </c>
      <c r="I325" s="9" t="s">
        <v>959</v>
      </c>
      <c r="J325" s="9" t="s">
        <v>960</v>
      </c>
      <c r="K325" s="9"/>
      <c r="L325" s="9"/>
      <c r="M325" s="13" t="s">
        <v>963</v>
      </c>
    </row>
    <row r="326" customFormat="false" ht="15" hidden="false" customHeight="true" outlineLevel="0" collapsed="false">
      <c r="A326" s="9" t="s">
        <v>957</v>
      </c>
      <c r="B326" s="9" t="s">
        <v>964</v>
      </c>
      <c r="C326" s="9" t="s">
        <v>24</v>
      </c>
      <c r="D326" s="9" t="s">
        <v>50</v>
      </c>
      <c r="E326" s="10" t="n">
        <v>4.96</v>
      </c>
      <c r="F326" s="9" t="n">
        <v>77</v>
      </c>
      <c r="G326" s="11" t="n">
        <v>1350</v>
      </c>
      <c r="H326" s="12" t="n">
        <f aca="false">IF(G326="","",ROUND(G326*(1-Supuestos!$B$3),0))</f>
        <v>945</v>
      </c>
      <c r="I326" s="9" t="s">
        <v>959</v>
      </c>
      <c r="J326" s="9" t="s">
        <v>960</v>
      </c>
      <c r="K326" s="9"/>
      <c r="L326" s="9"/>
      <c r="M326" s="13" t="s">
        <v>965</v>
      </c>
    </row>
    <row r="327" customFormat="false" ht="15" hidden="false" customHeight="true" outlineLevel="0" collapsed="false">
      <c r="A327" s="9" t="s">
        <v>957</v>
      </c>
      <c r="B327" s="9" t="s">
        <v>966</v>
      </c>
      <c r="C327" s="9" t="s">
        <v>24</v>
      </c>
      <c r="D327" s="9" t="s">
        <v>50</v>
      </c>
      <c r="E327" s="10" t="n">
        <v>5</v>
      </c>
      <c r="F327" s="9" t="n">
        <v>1</v>
      </c>
      <c r="G327" s="11" t="n">
        <v>1400</v>
      </c>
      <c r="H327" s="12" t="n">
        <f aca="false">IF(G327="","",ROUND(G327*(1-Supuestos!$B$3),0))</f>
        <v>980</v>
      </c>
      <c r="I327" s="9" t="s">
        <v>959</v>
      </c>
      <c r="J327" s="9" t="s">
        <v>960</v>
      </c>
      <c r="K327" s="9"/>
      <c r="L327" s="9"/>
      <c r="M327" s="13" t="s">
        <v>967</v>
      </c>
    </row>
    <row r="328" customFormat="false" ht="15" hidden="false" customHeight="true" outlineLevel="0" collapsed="false">
      <c r="A328" s="9" t="s">
        <v>968</v>
      </c>
      <c r="B328" s="9" t="s">
        <v>969</v>
      </c>
      <c r="C328" s="9" t="s">
        <v>42</v>
      </c>
      <c r="D328" s="9" t="s">
        <v>50</v>
      </c>
      <c r="E328" s="10" t="n">
        <v>5</v>
      </c>
      <c r="F328" s="9" t="n">
        <v>3</v>
      </c>
      <c r="G328" s="11" t="n">
        <v>1492.02</v>
      </c>
      <c r="H328" s="12" t="n">
        <f aca="false">IF(G328="","",ROUND(G328*(1-Supuestos!$B$3),0))</f>
        <v>1044</v>
      </c>
      <c r="I328" s="9" t="s">
        <v>970</v>
      </c>
      <c r="J328" s="9" t="s">
        <v>971</v>
      </c>
      <c r="K328" s="9"/>
      <c r="L328" s="9"/>
      <c r="M328" s="13" t="s">
        <v>972</v>
      </c>
    </row>
    <row r="329" customFormat="false" ht="15" hidden="false" customHeight="true" outlineLevel="0" collapsed="false">
      <c r="A329" s="9" t="s">
        <v>968</v>
      </c>
      <c r="B329" s="9" t="s">
        <v>973</v>
      </c>
      <c r="C329" s="9" t="s">
        <v>42</v>
      </c>
      <c r="D329" s="9" t="s">
        <v>25</v>
      </c>
      <c r="E329" s="10" t="n">
        <v>4.9</v>
      </c>
      <c r="F329" s="9" t="n">
        <v>49</v>
      </c>
      <c r="G329" s="11" t="n">
        <v>1348</v>
      </c>
      <c r="H329" s="12" t="n">
        <f aca="false">IF(G329="","",ROUND(G329*(1-Supuestos!$B$3),0))</f>
        <v>944</v>
      </c>
      <c r="I329" s="9" t="s">
        <v>970</v>
      </c>
      <c r="J329" s="9" t="s">
        <v>971</v>
      </c>
      <c r="K329" s="9"/>
      <c r="L329" s="9"/>
      <c r="M329" s="13" t="s">
        <v>974</v>
      </c>
    </row>
    <row r="330" customFormat="false" ht="15" hidden="false" customHeight="true" outlineLevel="0" collapsed="false">
      <c r="A330" s="9" t="s">
        <v>968</v>
      </c>
      <c r="B330" s="9" t="s">
        <v>975</v>
      </c>
      <c r="C330" s="9" t="s">
        <v>42</v>
      </c>
      <c r="D330" s="9" t="s">
        <v>50</v>
      </c>
      <c r="E330" s="10" t="n">
        <v>5</v>
      </c>
      <c r="F330" s="9" t="n">
        <v>3</v>
      </c>
      <c r="G330" s="11" t="n">
        <v>1149.02</v>
      </c>
      <c r="H330" s="12" t="n">
        <f aca="false">IF(G330="","",ROUND(G330*(1-Supuestos!$B$3),0))</f>
        <v>804</v>
      </c>
      <c r="I330" s="9" t="s">
        <v>970</v>
      </c>
      <c r="J330" s="9" t="s">
        <v>971</v>
      </c>
      <c r="K330" s="9"/>
      <c r="L330" s="9"/>
      <c r="M330" s="13" t="s">
        <v>976</v>
      </c>
    </row>
    <row r="331" customFormat="false" ht="15" hidden="false" customHeight="true" outlineLevel="0" collapsed="false">
      <c r="A331" s="9" t="s">
        <v>968</v>
      </c>
      <c r="B331" s="9" t="s">
        <v>975</v>
      </c>
      <c r="C331" s="9" t="s">
        <v>42</v>
      </c>
      <c r="D331" s="9" t="s">
        <v>25</v>
      </c>
      <c r="E331" s="10" t="n">
        <v>5</v>
      </c>
      <c r="F331" s="9" t="n">
        <v>4</v>
      </c>
      <c r="G331" s="11" t="n">
        <v>1361</v>
      </c>
      <c r="H331" s="12" t="n">
        <f aca="false">IF(G331="","",ROUND(G331*(1-Supuestos!$B$3),0))</f>
        <v>953</v>
      </c>
      <c r="I331" s="9" t="s">
        <v>970</v>
      </c>
      <c r="J331" s="9" t="s">
        <v>971</v>
      </c>
      <c r="K331" s="9"/>
      <c r="L331" s="9"/>
      <c r="M331" s="13" t="s">
        <v>977</v>
      </c>
    </row>
    <row r="332" customFormat="false" ht="15" hidden="false" customHeight="true" outlineLevel="0" collapsed="false">
      <c r="A332" s="9" t="s">
        <v>968</v>
      </c>
      <c r="B332" s="9" t="s">
        <v>978</v>
      </c>
      <c r="C332" s="9" t="s">
        <v>42</v>
      </c>
      <c r="D332" s="9" t="s">
        <v>25</v>
      </c>
      <c r="E332" s="10" t="n">
        <v>5</v>
      </c>
      <c r="F332" s="9" t="n">
        <v>1</v>
      </c>
      <c r="G332" s="11" t="n">
        <v>1569</v>
      </c>
      <c r="H332" s="12" t="n">
        <f aca="false">IF(G332="","",ROUND(G332*(1-Supuestos!$B$3),0))</f>
        <v>1098</v>
      </c>
      <c r="I332" s="9" t="s">
        <v>970</v>
      </c>
      <c r="J332" s="9" t="s">
        <v>971</v>
      </c>
      <c r="K332" s="9"/>
      <c r="L332" s="9"/>
      <c r="M332" s="13" t="s">
        <v>979</v>
      </c>
    </row>
    <row r="333" customFormat="false" ht="15" hidden="false" customHeight="true" outlineLevel="0" collapsed="false">
      <c r="A333" s="9" t="s">
        <v>968</v>
      </c>
      <c r="B333" s="9" t="s">
        <v>980</v>
      </c>
      <c r="C333" s="9" t="s">
        <v>42</v>
      </c>
      <c r="D333" s="9" t="s">
        <v>25</v>
      </c>
      <c r="E333" s="10" t="n">
        <v>5</v>
      </c>
      <c r="F333" s="9" t="n">
        <v>6</v>
      </c>
      <c r="G333" s="11" t="n">
        <v>1523</v>
      </c>
      <c r="H333" s="12" t="n">
        <f aca="false">IF(G333="","",ROUND(G333*(1-Supuestos!$B$3),0))</f>
        <v>1066</v>
      </c>
      <c r="I333" s="9" t="s">
        <v>970</v>
      </c>
      <c r="J333" s="9" t="s">
        <v>971</v>
      </c>
      <c r="K333" s="9"/>
      <c r="L333" s="9"/>
      <c r="M333" s="13" t="s">
        <v>981</v>
      </c>
    </row>
    <row r="334" customFormat="false" ht="15" hidden="false" customHeight="true" outlineLevel="0" collapsed="false">
      <c r="A334" s="9" t="s">
        <v>982</v>
      </c>
      <c r="B334" s="9" t="s">
        <v>983</v>
      </c>
      <c r="C334" s="9" t="s">
        <v>46</v>
      </c>
      <c r="D334" s="9" t="s">
        <v>38</v>
      </c>
      <c r="E334" s="10" t="n">
        <v>4.86</v>
      </c>
      <c r="F334" s="9" t="n">
        <v>360</v>
      </c>
      <c r="G334" s="11" t="n">
        <v>1054</v>
      </c>
      <c r="H334" s="12" t="n">
        <f aca="false">IF(G334="","",ROUND(G334*(1-Supuestos!$B$3),0))</f>
        <v>738</v>
      </c>
      <c r="I334" s="9" t="s">
        <v>984</v>
      </c>
      <c r="J334" s="9" t="s">
        <v>985</v>
      </c>
      <c r="K334" s="9" t="s">
        <v>986</v>
      </c>
      <c r="L334" s="9"/>
      <c r="M334" s="13" t="s">
        <v>987</v>
      </c>
    </row>
    <row r="335" customFormat="false" ht="15" hidden="false" customHeight="true" outlineLevel="0" collapsed="false">
      <c r="A335" s="9" t="s">
        <v>982</v>
      </c>
      <c r="B335" s="9" t="s">
        <v>983</v>
      </c>
      <c r="C335" s="9" t="s">
        <v>46</v>
      </c>
      <c r="D335" s="9" t="s">
        <v>25</v>
      </c>
      <c r="E335" s="10" t="n">
        <v>4.8</v>
      </c>
      <c r="F335" s="9" t="n">
        <v>298</v>
      </c>
      <c r="G335" s="11" t="n">
        <v>1290</v>
      </c>
      <c r="H335" s="12" t="n">
        <f aca="false">IF(G335="","",ROUND(G335*(1-Supuestos!$B$3),0))</f>
        <v>903</v>
      </c>
      <c r="I335" s="9" t="s">
        <v>984</v>
      </c>
      <c r="J335" s="9" t="s">
        <v>985</v>
      </c>
      <c r="K335" s="9" t="s">
        <v>986</v>
      </c>
      <c r="L335" s="9"/>
      <c r="M335" s="13" t="s">
        <v>988</v>
      </c>
    </row>
    <row r="336" customFormat="false" ht="15" hidden="false" customHeight="true" outlineLevel="0" collapsed="false">
      <c r="A336" s="9" t="s">
        <v>982</v>
      </c>
      <c r="B336" s="9" t="s">
        <v>983</v>
      </c>
      <c r="C336" s="9" t="s">
        <v>46</v>
      </c>
      <c r="D336" s="9" t="s">
        <v>50</v>
      </c>
      <c r="E336" s="10" t="n">
        <v>4.71</v>
      </c>
      <c r="F336" s="9" t="n">
        <v>175</v>
      </c>
      <c r="G336" s="11" t="n">
        <v>1286.22</v>
      </c>
      <c r="H336" s="12" t="n">
        <f aca="false">IF(G336="","",ROUND(G336*(1-Supuestos!$B$3),0))</f>
        <v>900</v>
      </c>
      <c r="I336" s="9" t="s">
        <v>984</v>
      </c>
      <c r="J336" s="9" t="s">
        <v>985</v>
      </c>
      <c r="K336" s="9" t="s">
        <v>986</v>
      </c>
      <c r="L336" s="9"/>
      <c r="M336" s="13" t="s">
        <v>989</v>
      </c>
    </row>
    <row r="337" customFormat="false" ht="15" hidden="false" customHeight="true" outlineLevel="0" collapsed="false">
      <c r="A337" s="9" t="s">
        <v>982</v>
      </c>
      <c r="B337" s="9" t="s">
        <v>990</v>
      </c>
      <c r="C337" s="9" t="s">
        <v>46</v>
      </c>
      <c r="D337" s="9" t="s">
        <v>50</v>
      </c>
      <c r="E337" s="10"/>
      <c r="F337" s="9" t="n">
        <v>0</v>
      </c>
      <c r="G337" s="11" t="n">
        <v>2057.95</v>
      </c>
      <c r="H337" s="12" t="n">
        <f aca="false">IF(G337="","",ROUND(G337*(1-Supuestos!$B$3),0))</f>
        <v>1441</v>
      </c>
      <c r="I337" s="9" t="s">
        <v>984</v>
      </c>
      <c r="J337" s="9" t="s">
        <v>985</v>
      </c>
      <c r="K337" s="9" t="s">
        <v>986</v>
      </c>
      <c r="L337" s="9"/>
      <c r="M337" s="13" t="s">
        <v>991</v>
      </c>
    </row>
    <row r="338" customFormat="false" ht="15" hidden="false" customHeight="true" outlineLevel="0" collapsed="false">
      <c r="A338" s="9" t="s">
        <v>982</v>
      </c>
      <c r="B338" s="9" t="s">
        <v>990</v>
      </c>
      <c r="C338" s="9" t="s">
        <v>46</v>
      </c>
      <c r="D338" s="9" t="s">
        <v>25</v>
      </c>
      <c r="E338" s="10" t="n">
        <v>5</v>
      </c>
      <c r="F338" s="9" t="n">
        <v>7</v>
      </c>
      <c r="G338" s="11" t="n">
        <v>2050</v>
      </c>
      <c r="H338" s="12" t="n">
        <f aca="false">IF(G338="","",ROUND(G338*(1-Supuestos!$B$3),0))</f>
        <v>1435</v>
      </c>
      <c r="I338" s="9" t="s">
        <v>984</v>
      </c>
      <c r="J338" s="9" t="s">
        <v>985</v>
      </c>
      <c r="K338" s="9" t="s">
        <v>986</v>
      </c>
      <c r="L338" s="9"/>
      <c r="M338" s="13" t="s">
        <v>992</v>
      </c>
    </row>
    <row r="339" customFormat="false" ht="15" hidden="false" customHeight="true" outlineLevel="0" collapsed="false">
      <c r="A339" s="9" t="s">
        <v>982</v>
      </c>
      <c r="B339" s="9" t="s">
        <v>993</v>
      </c>
      <c r="C339" s="9" t="s">
        <v>24</v>
      </c>
      <c r="D339" s="9" t="s">
        <v>50</v>
      </c>
      <c r="E339" s="10" t="n">
        <v>4.69</v>
      </c>
      <c r="F339" s="9" t="n">
        <v>32</v>
      </c>
      <c r="G339" s="11" t="n">
        <v>1286.22</v>
      </c>
      <c r="H339" s="12" t="n">
        <f aca="false">IF(G339="","",ROUND(G339*(1-Supuestos!$B$3),0))</f>
        <v>900</v>
      </c>
      <c r="I339" s="9" t="s">
        <v>984</v>
      </c>
      <c r="J339" s="9" t="s">
        <v>985</v>
      </c>
      <c r="K339" s="9" t="s">
        <v>986</v>
      </c>
      <c r="L339" s="9"/>
      <c r="M339" s="13" t="s">
        <v>994</v>
      </c>
    </row>
    <row r="340" customFormat="false" ht="15" hidden="false" customHeight="true" outlineLevel="0" collapsed="false">
      <c r="A340" s="9" t="s">
        <v>982</v>
      </c>
      <c r="B340" s="9" t="s">
        <v>995</v>
      </c>
      <c r="C340" s="9" t="s">
        <v>42</v>
      </c>
      <c r="D340" s="9" t="s">
        <v>25</v>
      </c>
      <c r="E340" s="10" t="n">
        <v>4.9</v>
      </c>
      <c r="F340" s="9" t="n">
        <v>87</v>
      </c>
      <c r="G340" s="11" t="n">
        <v>1290</v>
      </c>
      <c r="H340" s="12" t="n">
        <f aca="false">IF(G340="","",ROUND(G340*(1-Supuestos!$B$3),0))</f>
        <v>903</v>
      </c>
      <c r="I340" s="9" t="s">
        <v>984</v>
      </c>
      <c r="J340" s="9" t="s">
        <v>985</v>
      </c>
      <c r="K340" s="9" t="s">
        <v>986</v>
      </c>
      <c r="L340" s="9"/>
      <c r="M340" s="13" t="s">
        <v>996</v>
      </c>
    </row>
    <row r="341" customFormat="false" ht="15" hidden="false" customHeight="true" outlineLevel="0" collapsed="false">
      <c r="A341" s="9" t="s">
        <v>982</v>
      </c>
      <c r="B341" s="9" t="s">
        <v>997</v>
      </c>
      <c r="C341" s="9" t="s">
        <v>46</v>
      </c>
      <c r="D341" s="9" t="s">
        <v>25</v>
      </c>
      <c r="E341" s="10" t="n">
        <v>4.7</v>
      </c>
      <c r="F341" s="9" t="n">
        <v>35</v>
      </c>
      <c r="G341" s="11" t="n">
        <v>1290</v>
      </c>
      <c r="H341" s="12" t="n">
        <f aca="false">IF(G341="","",ROUND(G341*(1-Supuestos!$B$3),0))</f>
        <v>903</v>
      </c>
      <c r="I341" s="9" t="s">
        <v>984</v>
      </c>
      <c r="J341" s="9" t="s">
        <v>985</v>
      </c>
      <c r="K341" s="9" t="s">
        <v>986</v>
      </c>
      <c r="L341" s="9"/>
      <c r="M341" s="13" t="s">
        <v>998</v>
      </c>
    </row>
    <row r="342" customFormat="false" ht="15" hidden="false" customHeight="true" outlineLevel="0" collapsed="false">
      <c r="A342" s="9" t="s">
        <v>982</v>
      </c>
      <c r="B342" s="9" t="s">
        <v>999</v>
      </c>
      <c r="C342" s="9" t="s">
        <v>42</v>
      </c>
      <c r="D342" s="9" t="s">
        <v>25</v>
      </c>
      <c r="E342" s="10"/>
      <c r="F342" s="9" t="n">
        <v>0</v>
      </c>
      <c r="G342" s="11" t="n">
        <v>1290</v>
      </c>
      <c r="H342" s="12" t="n">
        <f aca="false">IF(G342="","",ROUND(G342*(1-Supuestos!$B$3),0))</f>
        <v>903</v>
      </c>
      <c r="I342" s="9" t="s">
        <v>984</v>
      </c>
      <c r="J342" s="9" t="s">
        <v>985</v>
      </c>
      <c r="K342" s="9" t="s">
        <v>986</v>
      </c>
      <c r="L342" s="9"/>
      <c r="M342" s="13" t="s">
        <v>1000</v>
      </c>
    </row>
    <row r="343" customFormat="false" ht="15" hidden="false" customHeight="true" outlineLevel="0" collapsed="false">
      <c r="A343" s="9" t="s">
        <v>982</v>
      </c>
      <c r="B343" s="9" t="s">
        <v>1001</v>
      </c>
      <c r="C343" s="9" t="s">
        <v>46</v>
      </c>
      <c r="D343" s="9" t="s">
        <v>25</v>
      </c>
      <c r="E343" s="10" t="n">
        <v>5</v>
      </c>
      <c r="F343" s="9" t="n">
        <v>28</v>
      </c>
      <c r="G343" s="11" t="n">
        <v>1250</v>
      </c>
      <c r="H343" s="12" t="n">
        <f aca="false">IF(G343="","",ROUND(G343*(1-Supuestos!$B$3),0))</f>
        <v>875</v>
      </c>
      <c r="I343" s="9" t="s">
        <v>984</v>
      </c>
      <c r="J343" s="9" t="s">
        <v>985</v>
      </c>
      <c r="K343" s="9" t="s">
        <v>986</v>
      </c>
      <c r="L343" s="9"/>
      <c r="M343" s="13" t="s">
        <v>1002</v>
      </c>
    </row>
    <row r="344" customFormat="false" ht="15" hidden="false" customHeight="true" outlineLevel="0" collapsed="false">
      <c r="A344" s="9" t="s">
        <v>982</v>
      </c>
      <c r="B344" s="9" t="s">
        <v>1001</v>
      </c>
      <c r="C344" s="9" t="s">
        <v>46</v>
      </c>
      <c r="D344" s="9" t="s">
        <v>88</v>
      </c>
      <c r="E344" s="10" t="n">
        <v>4.65</v>
      </c>
      <c r="F344" s="9" t="n">
        <v>11</v>
      </c>
      <c r="G344" s="11" t="n">
        <v>3656</v>
      </c>
      <c r="H344" s="12" t="n">
        <f aca="false">IF(G344="","",ROUND(G344*(1-Supuestos!$B$3),0))</f>
        <v>2559</v>
      </c>
      <c r="I344" s="9" t="s">
        <v>984</v>
      </c>
      <c r="J344" s="9" t="s">
        <v>985</v>
      </c>
      <c r="K344" s="9" t="s">
        <v>986</v>
      </c>
      <c r="L344" s="9"/>
      <c r="M344" s="13" t="s">
        <v>1003</v>
      </c>
    </row>
    <row r="345" customFormat="false" ht="15" hidden="false" customHeight="true" outlineLevel="0" collapsed="false">
      <c r="A345" s="9" t="s">
        <v>1004</v>
      </c>
      <c r="B345" s="9" t="s">
        <v>1005</v>
      </c>
      <c r="C345" s="9" t="s">
        <v>46</v>
      </c>
      <c r="D345" s="9" t="s">
        <v>25</v>
      </c>
      <c r="E345" s="10"/>
      <c r="F345" s="9" t="n">
        <v>0</v>
      </c>
      <c r="G345" s="11" t="n">
        <v>1400</v>
      </c>
      <c r="H345" s="12" t="n">
        <f aca="false">IF(G345="","",ROUND(G345*(1-Supuestos!$B$3),0))</f>
        <v>980</v>
      </c>
      <c r="I345" s="9"/>
      <c r="J345" s="9"/>
      <c r="K345" s="9"/>
      <c r="L345" s="9"/>
      <c r="M345" s="13" t="s">
        <v>1006</v>
      </c>
    </row>
    <row r="346" customFormat="false" ht="15" hidden="false" customHeight="true" outlineLevel="0" collapsed="false">
      <c r="A346" s="9" t="s">
        <v>1007</v>
      </c>
      <c r="B346" s="9" t="s">
        <v>1008</v>
      </c>
      <c r="C346" s="9" t="s">
        <v>24</v>
      </c>
      <c r="D346" s="9" t="s">
        <v>50</v>
      </c>
      <c r="E346" s="10" t="n">
        <v>3.66</v>
      </c>
      <c r="F346" s="9" t="n">
        <v>3</v>
      </c>
      <c r="G346" s="11" t="n">
        <v>700</v>
      </c>
      <c r="H346" s="12" t="n">
        <f aca="false">IF(G346="","",ROUND(G346*(1-Supuestos!$B$3),0))</f>
        <v>490</v>
      </c>
      <c r="I346" s="9"/>
      <c r="J346" s="9" t="s">
        <v>1009</v>
      </c>
      <c r="K346" s="9"/>
      <c r="L346" s="9"/>
      <c r="M346" s="13" t="s">
        <v>1010</v>
      </c>
    </row>
    <row r="347" customFormat="false" ht="15" hidden="false" customHeight="true" outlineLevel="0" collapsed="false">
      <c r="A347" s="9" t="s">
        <v>1007</v>
      </c>
      <c r="B347" s="9" t="s">
        <v>1011</v>
      </c>
      <c r="C347" s="9" t="s">
        <v>24</v>
      </c>
      <c r="D347" s="9" t="s">
        <v>50</v>
      </c>
      <c r="E347" s="10"/>
      <c r="F347" s="9" t="n">
        <v>0</v>
      </c>
      <c r="G347" s="11" t="n">
        <v>960</v>
      </c>
      <c r="H347" s="12" t="n">
        <f aca="false">IF(G347="","",ROUND(G347*(1-Supuestos!$B$3),0))</f>
        <v>672</v>
      </c>
      <c r="I347" s="9"/>
      <c r="J347" s="9" t="s">
        <v>1009</v>
      </c>
      <c r="K347" s="9"/>
      <c r="L347" s="9"/>
      <c r="M347" s="13" t="s">
        <v>1012</v>
      </c>
    </row>
    <row r="348" customFormat="false" ht="15" hidden="false" customHeight="true" outlineLevel="0" collapsed="false">
      <c r="A348" s="9" t="s">
        <v>1013</v>
      </c>
      <c r="B348" s="9" t="s">
        <v>1014</v>
      </c>
      <c r="C348" s="9" t="s">
        <v>24</v>
      </c>
      <c r="D348" s="9" t="s">
        <v>38</v>
      </c>
      <c r="E348" s="10" t="n">
        <v>5</v>
      </c>
      <c r="F348" s="9" t="n">
        <v>9</v>
      </c>
      <c r="G348" s="11" t="n">
        <v>1314</v>
      </c>
      <c r="H348" s="12" t="n">
        <f aca="false">IF(G348="","",ROUND(G348*(1-Supuestos!$B$3),0))</f>
        <v>920</v>
      </c>
      <c r="I348" s="9"/>
      <c r="J348" s="9"/>
      <c r="K348" s="9"/>
      <c r="L348" s="9"/>
      <c r="M348" s="13" t="s">
        <v>1015</v>
      </c>
    </row>
    <row r="349" customFormat="false" ht="15" hidden="false" customHeight="true" outlineLevel="0" collapsed="false">
      <c r="A349" s="9" t="s">
        <v>1016</v>
      </c>
      <c r="B349" s="9" t="s">
        <v>1017</v>
      </c>
      <c r="C349" s="9" t="s">
        <v>24</v>
      </c>
      <c r="D349" s="9" t="s">
        <v>50</v>
      </c>
      <c r="E349" s="10"/>
      <c r="F349" s="9" t="n">
        <v>0</v>
      </c>
      <c r="G349" s="11" t="n">
        <v>1371.97</v>
      </c>
      <c r="H349" s="12" t="n">
        <f aca="false">IF(G349="","",ROUND(G349*(1-Supuestos!$B$3),0))</f>
        <v>960</v>
      </c>
      <c r="I349" s="9"/>
      <c r="J349" s="9"/>
      <c r="K349" s="9"/>
      <c r="L349" s="9"/>
      <c r="M349" s="13" t="s">
        <v>1018</v>
      </c>
    </row>
    <row r="350" customFormat="false" ht="15" hidden="false" customHeight="true" outlineLevel="0" collapsed="false">
      <c r="A350" s="9" t="s">
        <v>1019</v>
      </c>
      <c r="B350" s="9" t="s">
        <v>1020</v>
      </c>
      <c r="C350" s="9" t="s">
        <v>24</v>
      </c>
      <c r="D350" s="9" t="s">
        <v>38</v>
      </c>
      <c r="E350" s="10"/>
      <c r="F350" s="9" t="n">
        <v>0</v>
      </c>
      <c r="G350" s="11" t="n">
        <v>1258</v>
      </c>
      <c r="H350" s="12" t="n">
        <f aca="false">IF(G350="","",ROUND(G350*(1-Supuestos!$B$3),0))</f>
        <v>881</v>
      </c>
      <c r="I350" s="9"/>
      <c r="J350" s="9" t="s">
        <v>1021</v>
      </c>
      <c r="K350" s="9"/>
      <c r="L350" s="9"/>
      <c r="M350" s="13" t="s">
        <v>1022</v>
      </c>
    </row>
    <row r="351" customFormat="false" ht="15" hidden="false" customHeight="true" outlineLevel="0" collapsed="false">
      <c r="A351" s="9" t="s">
        <v>1019</v>
      </c>
      <c r="B351" s="9" t="s">
        <v>1023</v>
      </c>
      <c r="C351" s="9" t="s">
        <v>24</v>
      </c>
      <c r="D351" s="9" t="s">
        <v>38</v>
      </c>
      <c r="E351" s="10" t="n">
        <v>5</v>
      </c>
      <c r="F351" s="9" t="n">
        <v>10</v>
      </c>
      <c r="G351" s="11" t="n">
        <v>980</v>
      </c>
      <c r="H351" s="12" t="n">
        <f aca="false">IF(G351="","",ROUND(G351*(1-Supuestos!$B$3),0))</f>
        <v>686</v>
      </c>
      <c r="I351" s="9"/>
      <c r="J351" s="9" t="s">
        <v>1021</v>
      </c>
      <c r="K351" s="9"/>
      <c r="L351" s="9"/>
      <c r="M351" s="13" t="s">
        <v>1024</v>
      </c>
    </row>
    <row r="352" customFormat="false" ht="15" hidden="false" customHeight="true" outlineLevel="0" collapsed="false">
      <c r="A352" s="9" t="s">
        <v>1019</v>
      </c>
      <c r="B352" s="9" t="s">
        <v>1025</v>
      </c>
      <c r="C352" s="9" t="s">
        <v>24</v>
      </c>
      <c r="D352" s="9" t="s">
        <v>25</v>
      </c>
      <c r="E352" s="10" t="n">
        <v>5</v>
      </c>
      <c r="F352" s="9" t="n">
        <v>1</v>
      </c>
      <c r="G352" s="11" t="n">
        <v>1400</v>
      </c>
      <c r="H352" s="12" t="n">
        <f aca="false">IF(G352="","",ROUND(G352*(1-Supuestos!$B$3),0))</f>
        <v>980</v>
      </c>
      <c r="I352" s="9"/>
      <c r="J352" s="9" t="s">
        <v>1021</v>
      </c>
      <c r="K352" s="9"/>
      <c r="L352" s="9"/>
      <c r="M352" s="13" t="s">
        <v>1026</v>
      </c>
    </row>
    <row r="353" customFormat="false" ht="15" hidden="false" customHeight="true" outlineLevel="0" collapsed="false">
      <c r="A353" s="9" t="s">
        <v>1027</v>
      </c>
      <c r="B353" s="9" t="s">
        <v>1028</v>
      </c>
      <c r="C353" s="9" t="s">
        <v>24</v>
      </c>
      <c r="D353" s="9" t="s">
        <v>38</v>
      </c>
      <c r="E353" s="10" t="n">
        <v>4.97</v>
      </c>
      <c r="F353" s="9" t="n">
        <v>723</v>
      </c>
      <c r="G353" s="11" t="n">
        <v>1258</v>
      </c>
      <c r="H353" s="12" t="n">
        <f aca="false">IF(G353="","",ROUND(G353*(1-Supuestos!$B$3),0))</f>
        <v>881</v>
      </c>
      <c r="I353" s="9" t="s">
        <v>1029</v>
      </c>
      <c r="J353" s="9" t="s">
        <v>1030</v>
      </c>
      <c r="K353" s="9"/>
      <c r="L353" s="9"/>
      <c r="M353" s="13" t="s">
        <v>1031</v>
      </c>
    </row>
    <row r="354" customFormat="false" ht="15" hidden="false" customHeight="true" outlineLevel="0" collapsed="false">
      <c r="A354" s="9" t="s">
        <v>1032</v>
      </c>
      <c r="B354" s="9" t="s">
        <v>1033</v>
      </c>
      <c r="C354" s="9" t="s">
        <v>24</v>
      </c>
      <c r="D354" s="9" t="s">
        <v>38</v>
      </c>
      <c r="E354" s="10" t="n">
        <v>4.94</v>
      </c>
      <c r="F354" s="9" t="n">
        <v>172</v>
      </c>
      <c r="G354" s="11" t="n">
        <v>444</v>
      </c>
      <c r="H354" s="12" t="n">
        <f aca="false">IF(G354="","",ROUND(G354*(1-Supuestos!$B$3),0))</f>
        <v>311</v>
      </c>
      <c r="I354" s="9"/>
      <c r="J354" s="9" t="s">
        <v>1034</v>
      </c>
      <c r="K354" s="9"/>
      <c r="L354" s="9"/>
      <c r="M354" s="13" t="s">
        <v>1035</v>
      </c>
    </row>
    <row r="355" customFormat="false" ht="15" hidden="false" customHeight="true" outlineLevel="0" collapsed="false">
      <c r="A355" s="9" t="s">
        <v>1032</v>
      </c>
      <c r="B355" s="9" t="s">
        <v>1036</v>
      </c>
      <c r="C355" s="9" t="s">
        <v>24</v>
      </c>
      <c r="D355" s="9" t="s">
        <v>38</v>
      </c>
      <c r="E355" s="10"/>
      <c r="F355" s="9" t="n">
        <v>0</v>
      </c>
      <c r="G355" s="11" t="n">
        <v>555</v>
      </c>
      <c r="H355" s="12" t="n">
        <f aca="false">IF(G355="","",ROUND(G355*(1-Supuestos!$B$3),0))</f>
        <v>389</v>
      </c>
      <c r="I355" s="9"/>
      <c r="J355" s="9" t="s">
        <v>1034</v>
      </c>
      <c r="K355" s="9"/>
      <c r="L355" s="9"/>
      <c r="M355" s="13" t="s">
        <v>1037</v>
      </c>
    </row>
    <row r="356" customFormat="false" ht="15" hidden="false" customHeight="true" outlineLevel="0" collapsed="false">
      <c r="A356" s="9" t="s">
        <v>1032</v>
      </c>
      <c r="B356" s="9" t="s">
        <v>1038</v>
      </c>
      <c r="C356" s="9" t="s">
        <v>24</v>
      </c>
      <c r="D356" s="9" t="s">
        <v>25</v>
      </c>
      <c r="E356" s="10" t="n">
        <v>5</v>
      </c>
      <c r="F356" s="9" t="n">
        <v>99</v>
      </c>
      <c r="G356" s="11" t="n">
        <v>1208</v>
      </c>
      <c r="H356" s="12" t="n">
        <f aca="false">IF(G356="","",ROUND(G356*(1-Supuestos!$B$3),0))</f>
        <v>846</v>
      </c>
      <c r="I356" s="9"/>
      <c r="J356" s="9" t="s">
        <v>1034</v>
      </c>
      <c r="K356" s="9"/>
      <c r="L356" s="9"/>
      <c r="M356" s="13" t="s">
        <v>1039</v>
      </c>
    </row>
    <row r="357" customFormat="false" ht="15" hidden="false" customHeight="true" outlineLevel="0" collapsed="false">
      <c r="A357" s="9" t="s">
        <v>1040</v>
      </c>
      <c r="B357" s="9" t="s">
        <v>1041</v>
      </c>
      <c r="C357" s="9" t="s">
        <v>42</v>
      </c>
      <c r="D357" s="9" t="s">
        <v>50</v>
      </c>
      <c r="E357" s="10" t="n">
        <v>5</v>
      </c>
      <c r="F357" s="9" t="n">
        <v>1</v>
      </c>
      <c r="G357" s="11" t="n">
        <v>1100</v>
      </c>
      <c r="H357" s="12" t="n">
        <f aca="false">IF(G357="","",ROUND(G357*(1-Supuestos!$B$3),0))</f>
        <v>770</v>
      </c>
      <c r="I357" s="9"/>
      <c r="J357" s="9" t="s">
        <v>1042</v>
      </c>
      <c r="K357" s="9"/>
      <c r="L357" s="9"/>
      <c r="M357" s="13" t="s">
        <v>1043</v>
      </c>
    </row>
    <row r="358" customFormat="false" ht="15" hidden="false" customHeight="true" outlineLevel="0" collapsed="false">
      <c r="A358" s="9" t="s">
        <v>1044</v>
      </c>
      <c r="B358" s="9" t="s">
        <v>1045</v>
      </c>
      <c r="C358" s="9" t="s">
        <v>24</v>
      </c>
      <c r="D358" s="9" t="s">
        <v>50</v>
      </c>
      <c r="E358" s="10" t="n">
        <v>4.26</v>
      </c>
      <c r="F358" s="9" t="n">
        <v>5</v>
      </c>
      <c r="G358" s="11" t="n">
        <v>1920.01</v>
      </c>
      <c r="H358" s="12" t="n">
        <f aca="false">IF(G358="","",ROUND(G358*(1-Supuestos!$B$3),0))</f>
        <v>1344</v>
      </c>
      <c r="I358" s="9"/>
      <c r="J358" s="9"/>
      <c r="K358" s="9"/>
      <c r="L358" s="9"/>
      <c r="M358" s="13" t="s">
        <v>1046</v>
      </c>
    </row>
    <row r="359" customFormat="false" ht="15" hidden="false" customHeight="true" outlineLevel="0" collapsed="false">
      <c r="A359" s="9" t="s">
        <v>1044</v>
      </c>
      <c r="B359" s="9" t="s">
        <v>1047</v>
      </c>
      <c r="C359" s="9" t="s">
        <v>24</v>
      </c>
      <c r="D359" s="9" t="s">
        <v>50</v>
      </c>
      <c r="E359" s="10"/>
      <c r="F359" s="9" t="n">
        <v>0</v>
      </c>
      <c r="G359" s="11" t="n">
        <v>1563.72</v>
      </c>
      <c r="H359" s="12" t="n">
        <f aca="false">IF(G359="","",ROUND(G359*(1-Supuestos!$B$3),0))</f>
        <v>1095</v>
      </c>
      <c r="I359" s="9"/>
      <c r="J359" s="9"/>
      <c r="K359" s="9"/>
      <c r="L359" s="9"/>
      <c r="M359" s="13" t="s">
        <v>1048</v>
      </c>
    </row>
    <row r="360" customFormat="false" ht="15" hidden="false" customHeight="true" outlineLevel="0" collapsed="false">
      <c r="A360" s="9" t="s">
        <v>1044</v>
      </c>
      <c r="B360" s="9" t="s">
        <v>1049</v>
      </c>
      <c r="C360" s="9" t="s">
        <v>24</v>
      </c>
      <c r="D360" s="9" t="s">
        <v>50</v>
      </c>
      <c r="E360" s="10"/>
      <c r="F360" s="9" t="n">
        <v>0</v>
      </c>
      <c r="G360" s="11" t="n">
        <v>1880.42</v>
      </c>
      <c r="H360" s="12" t="n">
        <f aca="false">IF(G360="","",ROUND(G360*(1-Supuestos!$B$3),0))</f>
        <v>1316</v>
      </c>
      <c r="I360" s="9"/>
      <c r="J360" s="9"/>
      <c r="K360" s="9"/>
      <c r="L360" s="9"/>
      <c r="M360" s="13" t="s">
        <v>1050</v>
      </c>
    </row>
    <row r="361" customFormat="false" ht="15" hidden="false" customHeight="true" outlineLevel="0" collapsed="false">
      <c r="A361" s="9" t="s">
        <v>1044</v>
      </c>
      <c r="B361" s="9" t="s">
        <v>1051</v>
      </c>
      <c r="C361" s="9" t="s">
        <v>24</v>
      </c>
      <c r="D361" s="9" t="s">
        <v>50</v>
      </c>
      <c r="E361" s="10"/>
      <c r="F361" s="9" t="n">
        <v>0</v>
      </c>
      <c r="G361" s="11" t="n">
        <v>1563.72</v>
      </c>
      <c r="H361" s="12" t="n">
        <f aca="false">IF(G361="","",ROUND(G361*(1-Supuestos!$B$3),0))</f>
        <v>1095</v>
      </c>
      <c r="I361" s="9"/>
      <c r="J361" s="9"/>
      <c r="K361" s="9"/>
      <c r="L361" s="9"/>
      <c r="M361" s="13" t="s">
        <v>1052</v>
      </c>
    </row>
    <row r="362" customFormat="false" ht="15" hidden="false" customHeight="true" outlineLevel="0" collapsed="false">
      <c r="A362" s="9" t="s">
        <v>1044</v>
      </c>
      <c r="B362" s="9" t="s">
        <v>1053</v>
      </c>
      <c r="C362" s="9" t="s">
        <v>24</v>
      </c>
      <c r="D362" s="9" t="s">
        <v>50</v>
      </c>
      <c r="E362" s="10"/>
      <c r="F362" s="9" t="n">
        <v>0</v>
      </c>
      <c r="G362" s="11" t="n">
        <v>1563.72</v>
      </c>
      <c r="H362" s="12" t="n">
        <f aca="false">IF(G362="","",ROUND(G362*(1-Supuestos!$B$3),0))</f>
        <v>1095</v>
      </c>
      <c r="I362" s="9"/>
      <c r="J362" s="9"/>
      <c r="K362" s="9"/>
      <c r="L362" s="9"/>
      <c r="M362" s="13" t="s">
        <v>1054</v>
      </c>
    </row>
    <row r="363" customFormat="false" ht="15" hidden="false" customHeight="true" outlineLevel="0" collapsed="false">
      <c r="A363" s="9" t="s">
        <v>1044</v>
      </c>
      <c r="B363" s="9" t="s">
        <v>1055</v>
      </c>
      <c r="C363" s="9" t="s">
        <v>24</v>
      </c>
      <c r="D363" s="9" t="s">
        <v>50</v>
      </c>
      <c r="E363" s="10" t="n">
        <v>4.7</v>
      </c>
      <c r="F363" s="9" t="n">
        <v>3</v>
      </c>
      <c r="G363" s="11" t="n">
        <v>1563.72</v>
      </c>
      <c r="H363" s="12" t="n">
        <f aca="false">IF(G363="","",ROUND(G363*(1-Supuestos!$B$3),0))</f>
        <v>1095</v>
      </c>
      <c r="I363" s="9"/>
      <c r="J363" s="9"/>
      <c r="K363" s="9"/>
      <c r="L363" s="9"/>
      <c r="M363" s="13" t="s">
        <v>1056</v>
      </c>
    </row>
    <row r="364" customFormat="false" ht="15" hidden="false" customHeight="true" outlineLevel="0" collapsed="false">
      <c r="A364" s="9" t="s">
        <v>1044</v>
      </c>
      <c r="B364" s="9" t="s">
        <v>1057</v>
      </c>
      <c r="C364" s="9" t="s">
        <v>24</v>
      </c>
      <c r="D364" s="9" t="s">
        <v>50</v>
      </c>
      <c r="E364" s="10"/>
      <c r="F364" s="9" t="n">
        <v>0</v>
      </c>
      <c r="G364" s="11" t="n">
        <v>1563.72</v>
      </c>
      <c r="H364" s="12" t="n">
        <f aca="false">IF(G364="","",ROUND(G364*(1-Supuestos!$B$3),0))</f>
        <v>1095</v>
      </c>
      <c r="I364" s="9"/>
      <c r="J364" s="9"/>
      <c r="K364" s="9"/>
      <c r="L364" s="9"/>
      <c r="M364" s="13" t="s">
        <v>1058</v>
      </c>
    </row>
    <row r="365" customFormat="false" ht="15" hidden="false" customHeight="true" outlineLevel="0" collapsed="false">
      <c r="A365" s="9" t="s">
        <v>1044</v>
      </c>
      <c r="B365" s="9" t="s">
        <v>1059</v>
      </c>
      <c r="C365" s="9" t="s">
        <v>24</v>
      </c>
      <c r="D365" s="9" t="s">
        <v>50</v>
      </c>
      <c r="E365" s="10"/>
      <c r="F365" s="9" t="n">
        <v>0</v>
      </c>
      <c r="G365" s="11" t="n">
        <v>1880.42</v>
      </c>
      <c r="H365" s="12" t="n">
        <f aca="false">IF(G365="","",ROUND(G365*(1-Supuestos!$B$3),0))</f>
        <v>1316</v>
      </c>
      <c r="I365" s="9"/>
      <c r="J365" s="9"/>
      <c r="K365" s="9"/>
      <c r="L365" s="9"/>
      <c r="M365" s="13" t="s">
        <v>1060</v>
      </c>
    </row>
    <row r="366" customFormat="false" ht="15" hidden="false" customHeight="true" outlineLevel="0" collapsed="false">
      <c r="A366" s="9" t="s">
        <v>1061</v>
      </c>
      <c r="B366" s="9" t="s">
        <v>1062</v>
      </c>
      <c r="C366" s="9" t="s">
        <v>24</v>
      </c>
      <c r="D366" s="9" t="s">
        <v>50</v>
      </c>
      <c r="E366" s="10" t="n">
        <v>4.49</v>
      </c>
      <c r="F366" s="9" t="n">
        <v>2</v>
      </c>
      <c r="G366" s="11" t="n">
        <v>2990</v>
      </c>
      <c r="H366" s="12" t="n">
        <f aca="false">IF(G366="","",ROUND(G366*(1-Supuestos!$B$3),0))</f>
        <v>2093</v>
      </c>
      <c r="I366" s="9"/>
      <c r="J366" s="9"/>
      <c r="K366" s="9"/>
      <c r="L366" s="9"/>
      <c r="M366" s="13" t="s">
        <v>1063</v>
      </c>
    </row>
    <row r="367" customFormat="false" ht="15" hidden="false" customHeight="true" outlineLevel="0" collapsed="false">
      <c r="A367" s="9" t="s">
        <v>1064</v>
      </c>
      <c r="B367" s="9" t="s">
        <v>1065</v>
      </c>
      <c r="C367" s="9" t="s">
        <v>24</v>
      </c>
      <c r="D367" s="9" t="s">
        <v>50</v>
      </c>
      <c r="E367" s="10"/>
      <c r="F367" s="9" t="n">
        <v>0</v>
      </c>
      <c r="G367" s="11" t="n">
        <v>1300</v>
      </c>
      <c r="H367" s="12" t="n">
        <f aca="false">IF(G367="","",ROUND(G367*(1-Supuestos!$B$3),0))</f>
        <v>910</v>
      </c>
      <c r="I367" s="9"/>
      <c r="J367" s="9"/>
      <c r="K367" s="9"/>
      <c r="L367" s="9"/>
      <c r="M367" s="13" t="s">
        <v>1066</v>
      </c>
    </row>
    <row r="368" customFormat="false" ht="15" hidden="false" customHeight="true" outlineLevel="0" collapsed="false">
      <c r="A368" s="9" t="s">
        <v>1067</v>
      </c>
      <c r="B368" s="9" t="s">
        <v>1068</v>
      </c>
      <c r="C368" s="9" t="s">
        <v>24</v>
      </c>
      <c r="D368" s="9" t="s">
        <v>50</v>
      </c>
      <c r="E368" s="10" t="n">
        <v>4.94</v>
      </c>
      <c r="F368" s="9" t="n">
        <v>297</v>
      </c>
      <c r="G368" s="11" t="n">
        <v>1972.2</v>
      </c>
      <c r="H368" s="12" t="n">
        <f aca="false">IF(G368="","",ROUND(G368*(1-Supuestos!$B$3),0))</f>
        <v>1381</v>
      </c>
      <c r="I368" s="9" t="s">
        <v>1069</v>
      </c>
      <c r="J368" s="9" t="s">
        <v>1070</v>
      </c>
      <c r="K368" s="9"/>
      <c r="L368" s="9" t="s">
        <v>1071</v>
      </c>
      <c r="M368" s="13" t="s">
        <v>1072</v>
      </c>
    </row>
    <row r="369" customFormat="false" ht="15" hidden="false" customHeight="true" outlineLevel="0" collapsed="false">
      <c r="A369" s="9" t="s">
        <v>1067</v>
      </c>
      <c r="B369" s="9" t="s">
        <v>1068</v>
      </c>
      <c r="C369" s="9" t="s">
        <v>24</v>
      </c>
      <c r="D369" s="9" t="s">
        <v>25</v>
      </c>
      <c r="E369" s="10" t="n">
        <v>4.9</v>
      </c>
      <c r="F369" s="9" t="n">
        <v>1375</v>
      </c>
      <c r="G369" s="11" t="n">
        <v>2013</v>
      </c>
      <c r="H369" s="12" t="n">
        <f aca="false">IF(G369="","",ROUND(G369*(1-Supuestos!$B$3),0))</f>
        <v>1409</v>
      </c>
      <c r="I369" s="9" t="s">
        <v>1069</v>
      </c>
      <c r="J369" s="9" t="s">
        <v>1070</v>
      </c>
      <c r="K369" s="9"/>
      <c r="L369" s="9" t="s">
        <v>1071</v>
      </c>
      <c r="M369" s="13" t="s">
        <v>1073</v>
      </c>
    </row>
    <row r="370" customFormat="false" ht="15" hidden="false" customHeight="true" outlineLevel="0" collapsed="false">
      <c r="A370" s="9" t="s">
        <v>1067</v>
      </c>
      <c r="B370" s="9" t="s">
        <v>1074</v>
      </c>
      <c r="C370" s="9" t="s">
        <v>24</v>
      </c>
      <c r="D370" s="9" t="s">
        <v>25</v>
      </c>
      <c r="E370" s="10" t="n">
        <v>4.9</v>
      </c>
      <c r="F370" s="9" t="n">
        <v>296</v>
      </c>
      <c r="G370" s="11" t="n">
        <v>2363</v>
      </c>
      <c r="H370" s="12" t="n">
        <f aca="false">IF(G370="","",ROUND(G370*(1-Supuestos!$B$3),0))</f>
        <v>1654</v>
      </c>
      <c r="I370" s="9" t="s">
        <v>1069</v>
      </c>
      <c r="J370" s="9" t="s">
        <v>1070</v>
      </c>
      <c r="K370" s="9"/>
      <c r="L370" s="9" t="s">
        <v>1071</v>
      </c>
      <c r="M370" s="13" t="s">
        <v>1075</v>
      </c>
    </row>
    <row r="371" customFormat="false" ht="15" hidden="false" customHeight="true" outlineLevel="0" collapsed="false">
      <c r="A371" s="9" t="s">
        <v>1076</v>
      </c>
      <c r="B371" s="9" t="s">
        <v>1077</v>
      </c>
      <c r="C371" s="9" t="s">
        <v>24</v>
      </c>
      <c r="D371" s="9" t="s">
        <v>38</v>
      </c>
      <c r="E371" s="10"/>
      <c r="F371" s="9" t="n">
        <v>0</v>
      </c>
      <c r="G371" s="11" t="n">
        <v>703</v>
      </c>
      <c r="H371" s="12" t="n">
        <f aca="false">IF(G371="","",ROUND(G371*(1-Supuestos!$B$3),0))</f>
        <v>492</v>
      </c>
      <c r="I371" s="9"/>
      <c r="J371" s="9"/>
      <c r="K371" s="9"/>
      <c r="L371" s="9"/>
      <c r="M371" s="13" t="s">
        <v>1078</v>
      </c>
    </row>
    <row r="372" customFormat="false" ht="15" hidden="false" customHeight="true" outlineLevel="0" collapsed="false">
      <c r="A372" s="9" t="s">
        <v>1079</v>
      </c>
      <c r="B372" s="9" t="s">
        <v>1080</v>
      </c>
      <c r="C372" s="9" t="s">
        <v>24</v>
      </c>
      <c r="D372" s="9" t="s">
        <v>25</v>
      </c>
      <c r="E372" s="10"/>
      <c r="F372" s="9" t="n">
        <v>0</v>
      </c>
      <c r="G372" s="11" t="n">
        <v>3063</v>
      </c>
      <c r="H372" s="12" t="n">
        <f aca="false">IF(G372="","",ROUND(G372*(1-Supuestos!$B$3),0))</f>
        <v>2144</v>
      </c>
      <c r="I372" s="9"/>
      <c r="J372" s="9"/>
      <c r="K372" s="9"/>
      <c r="L372" s="9"/>
      <c r="M372" s="13" t="s">
        <v>1081</v>
      </c>
    </row>
    <row r="373" customFormat="false" ht="15" hidden="false" customHeight="true" outlineLevel="0" collapsed="false">
      <c r="A373" s="9" t="s">
        <v>1082</v>
      </c>
      <c r="B373" s="9" t="s">
        <v>1083</v>
      </c>
      <c r="C373" s="9" t="s">
        <v>24</v>
      </c>
      <c r="D373" s="9" t="s">
        <v>38</v>
      </c>
      <c r="E373" s="10"/>
      <c r="F373" s="9" t="n">
        <v>0</v>
      </c>
      <c r="G373" s="11" t="n">
        <v>1646</v>
      </c>
      <c r="H373" s="12" t="n">
        <f aca="false">IF(G373="","",ROUND(G373*(1-Supuestos!$B$3),0))</f>
        <v>1152</v>
      </c>
      <c r="I373" s="9" t="s">
        <v>1084</v>
      </c>
      <c r="J373" s="9" t="s">
        <v>1085</v>
      </c>
      <c r="K373" s="9"/>
      <c r="L373" s="9" t="s">
        <v>1086</v>
      </c>
      <c r="M373" s="13" t="s">
        <v>1087</v>
      </c>
    </row>
    <row r="374" customFormat="false" ht="15" hidden="false" customHeight="true" outlineLevel="0" collapsed="false">
      <c r="A374" s="9" t="s">
        <v>1082</v>
      </c>
      <c r="B374" s="9" t="s">
        <v>1088</v>
      </c>
      <c r="C374" s="9" t="s">
        <v>24</v>
      </c>
      <c r="D374" s="9" t="s">
        <v>25</v>
      </c>
      <c r="E374" s="10" t="n">
        <v>5</v>
      </c>
      <c r="F374" s="9" t="n">
        <v>981</v>
      </c>
      <c r="G374" s="11" t="n">
        <v>1374</v>
      </c>
      <c r="H374" s="12" t="n">
        <f aca="false">IF(G374="","",ROUND(G374*(1-Supuestos!$B$3),0))</f>
        <v>962</v>
      </c>
      <c r="I374" s="9" t="s">
        <v>1084</v>
      </c>
      <c r="J374" s="9" t="s">
        <v>1085</v>
      </c>
      <c r="K374" s="9"/>
      <c r="L374" s="9" t="s">
        <v>1086</v>
      </c>
      <c r="M374" s="13" t="s">
        <v>1089</v>
      </c>
    </row>
    <row r="375" customFormat="false" ht="15" hidden="false" customHeight="true" outlineLevel="0" collapsed="false">
      <c r="A375" s="9" t="s">
        <v>1082</v>
      </c>
      <c r="B375" s="9" t="s">
        <v>1090</v>
      </c>
      <c r="C375" s="9" t="s">
        <v>24</v>
      </c>
      <c r="D375" s="9" t="s">
        <v>25</v>
      </c>
      <c r="E375" s="10" t="n">
        <v>5</v>
      </c>
      <c r="F375" s="9" t="n">
        <v>185</v>
      </c>
      <c r="G375" s="11" t="n">
        <v>3254</v>
      </c>
      <c r="H375" s="12" t="n">
        <f aca="false">IF(G375="","",ROUND(G375*(1-Supuestos!$B$3),0))</f>
        <v>2278</v>
      </c>
      <c r="I375" s="9" t="s">
        <v>1084</v>
      </c>
      <c r="J375" s="9" t="s">
        <v>1085</v>
      </c>
      <c r="K375" s="9"/>
      <c r="L375" s="9" t="s">
        <v>1086</v>
      </c>
      <c r="M375" s="13" t="s">
        <v>1091</v>
      </c>
    </row>
    <row r="376" customFormat="false" ht="15" hidden="false" customHeight="true" outlineLevel="0" collapsed="false">
      <c r="A376" s="9" t="s">
        <v>1092</v>
      </c>
      <c r="B376" s="9" t="s">
        <v>1093</v>
      </c>
      <c r="C376" s="9" t="s">
        <v>24</v>
      </c>
      <c r="D376" s="9" t="s">
        <v>38</v>
      </c>
      <c r="E376" s="10"/>
      <c r="F376" s="9" t="n">
        <v>0</v>
      </c>
      <c r="G376" s="11" t="n">
        <v>2312</v>
      </c>
      <c r="H376" s="12" t="n">
        <f aca="false">IF(G376="","",ROUND(G376*(1-Supuestos!$B$3),0))</f>
        <v>1618</v>
      </c>
      <c r="I376" s="9"/>
      <c r="J376" s="9"/>
      <c r="K376" s="9"/>
      <c r="L376" s="9"/>
      <c r="M376" s="13" t="s">
        <v>1094</v>
      </c>
    </row>
    <row r="377" customFormat="false" ht="15" hidden="false" customHeight="true" outlineLevel="0" collapsed="false">
      <c r="A377" s="9" t="s">
        <v>1095</v>
      </c>
      <c r="B377" s="9" t="s">
        <v>1096</v>
      </c>
      <c r="C377" s="9" t="s">
        <v>42</v>
      </c>
      <c r="D377" s="9" t="s">
        <v>38</v>
      </c>
      <c r="E377" s="10" t="n">
        <v>5</v>
      </c>
      <c r="F377" s="9" t="n">
        <v>3</v>
      </c>
      <c r="G377" s="11" t="n">
        <v>1961</v>
      </c>
      <c r="H377" s="12" t="n">
        <f aca="false">IF(G377="","",ROUND(G377*(1-Supuestos!$B$3),0))</f>
        <v>1373</v>
      </c>
      <c r="I377" s="9"/>
      <c r="J377" s="9"/>
      <c r="K377" s="9"/>
      <c r="L377" s="9"/>
      <c r="M377" s="13" t="s">
        <v>1097</v>
      </c>
    </row>
    <row r="378" customFormat="false" ht="15" hidden="false" customHeight="true" outlineLevel="0" collapsed="false">
      <c r="A378" s="9" t="s">
        <v>1098</v>
      </c>
      <c r="B378" s="9" t="s">
        <v>1099</v>
      </c>
      <c r="C378" s="9" t="s">
        <v>24</v>
      </c>
      <c r="D378" s="9" t="s">
        <v>38</v>
      </c>
      <c r="E378" s="10"/>
      <c r="F378" s="9" t="n">
        <v>0</v>
      </c>
      <c r="G378" s="11" t="n">
        <v>1073</v>
      </c>
      <c r="H378" s="12" t="n">
        <f aca="false">IF(G378="","",ROUND(G378*(1-Supuestos!$B$3),0))</f>
        <v>751</v>
      </c>
      <c r="I378" s="9"/>
      <c r="J378" s="9"/>
      <c r="K378" s="9"/>
      <c r="L378" s="9"/>
      <c r="M378" s="13" t="s">
        <v>1100</v>
      </c>
    </row>
    <row r="379" customFormat="false" ht="15" hidden="false" customHeight="true" outlineLevel="0" collapsed="false">
      <c r="A379" s="9" t="s">
        <v>1101</v>
      </c>
      <c r="B379" s="9" t="s">
        <v>1102</v>
      </c>
      <c r="C379" s="9" t="s">
        <v>24</v>
      </c>
      <c r="D379" s="9" t="s">
        <v>50</v>
      </c>
      <c r="E379" s="10"/>
      <c r="F379" s="9" t="n">
        <v>0</v>
      </c>
      <c r="G379" s="11" t="n">
        <v>667</v>
      </c>
      <c r="H379" s="12" t="n">
        <f aca="false">IF(G379="","",ROUND(G379*(1-Supuestos!$B$3),0))</f>
        <v>467</v>
      </c>
      <c r="I379" s="9"/>
      <c r="J379" s="9"/>
      <c r="K379" s="9"/>
      <c r="L379" s="9"/>
      <c r="M379" s="13" t="s">
        <v>1103</v>
      </c>
    </row>
    <row r="380" customFormat="false" ht="15" hidden="false" customHeight="true" outlineLevel="0" collapsed="false">
      <c r="A380" s="9" t="s">
        <v>1104</v>
      </c>
      <c r="B380" s="9" t="s">
        <v>1105</v>
      </c>
      <c r="C380" s="9" t="s">
        <v>24</v>
      </c>
      <c r="D380" s="9" t="s">
        <v>25</v>
      </c>
      <c r="E380" s="10"/>
      <c r="F380" s="9" t="n">
        <v>0</v>
      </c>
      <c r="G380" s="11" t="n">
        <v>2300</v>
      </c>
      <c r="H380" s="12" t="n">
        <f aca="false">IF(G380="","",ROUND(G380*(1-Supuestos!$B$3),0))</f>
        <v>1610</v>
      </c>
      <c r="I380" s="9"/>
      <c r="J380" s="9"/>
      <c r="K380" s="9"/>
      <c r="L380" s="9"/>
      <c r="M380" s="13" t="s">
        <v>1106</v>
      </c>
    </row>
    <row r="381" customFormat="false" ht="15" hidden="false" customHeight="true" outlineLevel="0" collapsed="false">
      <c r="A381" s="9" t="s">
        <v>1107</v>
      </c>
      <c r="B381" s="9" t="s">
        <v>1108</v>
      </c>
      <c r="C381" s="9" t="s">
        <v>24</v>
      </c>
      <c r="D381" s="9" t="s">
        <v>25</v>
      </c>
      <c r="E381" s="10"/>
      <c r="F381" s="9" t="n">
        <v>0</v>
      </c>
      <c r="G381" s="11" t="n">
        <v>2000</v>
      </c>
      <c r="H381" s="12" t="n">
        <f aca="false">IF(G381="","",ROUND(G381*(1-Supuestos!$B$3),0))</f>
        <v>1400</v>
      </c>
      <c r="I381" s="9" t="s">
        <v>1109</v>
      </c>
      <c r="J381" s="9" t="s">
        <v>1110</v>
      </c>
      <c r="K381" s="9"/>
      <c r="L381" s="9"/>
      <c r="M381" s="13" t="s">
        <v>1111</v>
      </c>
    </row>
    <row r="382" customFormat="false" ht="15" hidden="false" customHeight="true" outlineLevel="0" collapsed="false">
      <c r="A382" s="9" t="s">
        <v>1107</v>
      </c>
      <c r="B382" s="9" t="s">
        <v>1112</v>
      </c>
      <c r="C382" s="9" t="s">
        <v>24</v>
      </c>
      <c r="D382" s="9" t="s">
        <v>25</v>
      </c>
      <c r="E382" s="10" t="n">
        <v>5</v>
      </c>
      <c r="F382" s="9" t="n">
        <v>1</v>
      </c>
      <c r="G382" s="11" t="n">
        <v>1550</v>
      </c>
      <c r="H382" s="12" t="n">
        <f aca="false">IF(G382="","",ROUND(G382*(1-Supuestos!$B$3),0))</f>
        <v>1085</v>
      </c>
      <c r="I382" s="9" t="s">
        <v>1109</v>
      </c>
      <c r="J382" s="9" t="s">
        <v>1110</v>
      </c>
      <c r="K382" s="9"/>
      <c r="L382" s="9"/>
      <c r="M382" s="13" t="s">
        <v>1113</v>
      </c>
    </row>
    <row r="383" customFormat="false" ht="15" hidden="false" customHeight="true" outlineLevel="0" collapsed="false">
      <c r="A383" s="9" t="s">
        <v>1114</v>
      </c>
      <c r="B383" s="9" t="s">
        <v>1115</v>
      </c>
      <c r="C383" s="9" t="s">
        <v>24</v>
      </c>
      <c r="D383" s="9" t="s">
        <v>50</v>
      </c>
      <c r="E383" s="10"/>
      <c r="F383" s="9" t="n">
        <v>0</v>
      </c>
      <c r="G383" s="11" t="n">
        <v>2200</v>
      </c>
      <c r="H383" s="12" t="n">
        <f aca="false">IF(G383="","",ROUND(G383*(1-Supuestos!$B$3),0))</f>
        <v>1540</v>
      </c>
      <c r="I383" s="9" t="s">
        <v>1116</v>
      </c>
      <c r="J383" s="9"/>
      <c r="K383" s="9" t="s">
        <v>1117</v>
      </c>
      <c r="L383" s="9"/>
      <c r="M383" s="13" t="s">
        <v>1118</v>
      </c>
    </row>
    <row r="384" customFormat="false" ht="15" hidden="false" customHeight="true" outlineLevel="0" collapsed="false">
      <c r="A384" s="9" t="s">
        <v>1114</v>
      </c>
      <c r="B384" s="9" t="s">
        <v>1119</v>
      </c>
      <c r="C384" s="9" t="s">
        <v>24</v>
      </c>
      <c r="D384" s="9" t="s">
        <v>25</v>
      </c>
      <c r="E384" s="10"/>
      <c r="F384" s="9" t="n">
        <v>0</v>
      </c>
      <c r="G384" s="11" t="n">
        <v>750</v>
      </c>
      <c r="H384" s="12" t="n">
        <f aca="false">IF(G384="","",ROUND(G384*(1-Supuestos!$B$3),0))</f>
        <v>525</v>
      </c>
      <c r="I384" s="9" t="s">
        <v>1116</v>
      </c>
      <c r="J384" s="9"/>
      <c r="K384" s="9" t="s">
        <v>1117</v>
      </c>
      <c r="L384" s="9"/>
      <c r="M384" s="13" t="s">
        <v>1120</v>
      </c>
    </row>
    <row r="385" customFormat="false" ht="15" hidden="false" customHeight="true" outlineLevel="0" collapsed="false">
      <c r="A385" s="9" t="s">
        <v>1114</v>
      </c>
      <c r="B385" s="9" t="s">
        <v>1121</v>
      </c>
      <c r="C385" s="9" t="s">
        <v>24</v>
      </c>
      <c r="D385" s="9" t="s">
        <v>50</v>
      </c>
      <c r="E385" s="10" t="n">
        <v>4.49</v>
      </c>
      <c r="F385" s="9" t="n">
        <v>3</v>
      </c>
      <c r="G385" s="11" t="n">
        <v>450</v>
      </c>
      <c r="H385" s="12" t="n">
        <f aca="false">IF(G385="","",ROUND(G385*(1-Supuestos!$B$3),0))</f>
        <v>315</v>
      </c>
      <c r="I385" s="9" t="s">
        <v>1116</v>
      </c>
      <c r="J385" s="9"/>
      <c r="K385" s="9" t="s">
        <v>1117</v>
      </c>
      <c r="L385" s="9"/>
      <c r="M385" s="13" t="s">
        <v>1122</v>
      </c>
    </row>
    <row r="386" customFormat="false" ht="15" hidden="false" customHeight="true" outlineLevel="0" collapsed="false">
      <c r="A386" s="9" t="s">
        <v>1114</v>
      </c>
      <c r="B386" s="9" t="s">
        <v>1123</v>
      </c>
      <c r="C386" s="9" t="s">
        <v>24</v>
      </c>
      <c r="D386" s="9" t="s">
        <v>50</v>
      </c>
      <c r="E386" s="10"/>
      <c r="F386" s="9" t="n">
        <v>0</v>
      </c>
      <c r="G386" s="11" t="n">
        <v>550</v>
      </c>
      <c r="H386" s="12" t="n">
        <f aca="false">IF(G386="","",ROUND(G386*(1-Supuestos!$B$3),0))</f>
        <v>385</v>
      </c>
      <c r="I386" s="9" t="s">
        <v>1116</v>
      </c>
      <c r="J386" s="9"/>
      <c r="K386" s="9" t="s">
        <v>1117</v>
      </c>
      <c r="L386" s="9"/>
      <c r="M386" s="13" t="s">
        <v>1124</v>
      </c>
    </row>
    <row r="387" customFormat="false" ht="15" hidden="false" customHeight="true" outlineLevel="0" collapsed="false">
      <c r="A387" s="9" t="s">
        <v>1114</v>
      </c>
      <c r="B387" s="9" t="s">
        <v>1125</v>
      </c>
      <c r="C387" s="9" t="s">
        <v>24</v>
      </c>
      <c r="D387" s="9" t="s">
        <v>88</v>
      </c>
      <c r="E387" s="10" t="n">
        <v>5</v>
      </c>
      <c r="F387" s="9" t="n">
        <v>1</v>
      </c>
      <c r="G387" s="11" t="n">
        <v>1776</v>
      </c>
      <c r="H387" s="12" t="n">
        <f aca="false">IF(G387="","",ROUND(G387*(1-Supuestos!$B$3),0))</f>
        <v>1243</v>
      </c>
      <c r="I387" s="9" t="s">
        <v>1116</v>
      </c>
      <c r="J387" s="9"/>
      <c r="K387" s="9" t="s">
        <v>1117</v>
      </c>
      <c r="L387" s="9"/>
      <c r="M387" s="13" t="s">
        <v>1126</v>
      </c>
    </row>
    <row r="388" customFormat="false" ht="15" hidden="false" customHeight="true" outlineLevel="0" collapsed="false">
      <c r="A388" s="9" t="s">
        <v>1114</v>
      </c>
      <c r="B388" s="9" t="s">
        <v>1127</v>
      </c>
      <c r="C388" s="9" t="s">
        <v>24</v>
      </c>
      <c r="D388" s="9" t="s">
        <v>88</v>
      </c>
      <c r="E388" s="10"/>
      <c r="F388" s="9" t="n">
        <v>0</v>
      </c>
      <c r="G388" s="11" t="n">
        <v>1776</v>
      </c>
      <c r="H388" s="12" t="n">
        <f aca="false">IF(G388="","",ROUND(G388*(1-Supuestos!$B$3),0))</f>
        <v>1243</v>
      </c>
      <c r="I388" s="9" t="s">
        <v>1116</v>
      </c>
      <c r="J388" s="9"/>
      <c r="K388" s="9" t="s">
        <v>1117</v>
      </c>
      <c r="L388" s="9"/>
      <c r="M388" s="13" t="s">
        <v>1128</v>
      </c>
    </row>
    <row r="389" customFormat="false" ht="15" hidden="false" customHeight="true" outlineLevel="0" collapsed="false">
      <c r="A389" s="9" t="s">
        <v>1129</v>
      </c>
      <c r="B389" s="9" t="s">
        <v>1130</v>
      </c>
      <c r="C389" s="9" t="s">
        <v>24</v>
      </c>
      <c r="D389" s="9" t="s">
        <v>50</v>
      </c>
      <c r="E389" s="10"/>
      <c r="F389" s="9" t="n">
        <v>0</v>
      </c>
      <c r="G389" s="11" t="n">
        <v>857.48</v>
      </c>
      <c r="H389" s="12" t="n">
        <f aca="false">IF(G389="","",ROUND(G389*(1-Supuestos!$B$3),0))</f>
        <v>600</v>
      </c>
      <c r="I389" s="9"/>
      <c r="J389" s="9"/>
      <c r="K389" s="9"/>
      <c r="L389" s="9"/>
      <c r="M389" s="13" t="s">
        <v>1131</v>
      </c>
    </row>
    <row r="390" customFormat="false" ht="15" hidden="false" customHeight="true" outlineLevel="0" collapsed="false">
      <c r="A390" s="9" t="s">
        <v>1132</v>
      </c>
      <c r="B390" s="9" t="s">
        <v>1132</v>
      </c>
      <c r="C390" s="9" t="s">
        <v>24</v>
      </c>
      <c r="D390" s="9" t="s">
        <v>25</v>
      </c>
      <c r="E390" s="10"/>
      <c r="F390" s="9" t="n">
        <v>0</v>
      </c>
      <c r="G390" s="11" t="n">
        <v>1600</v>
      </c>
      <c r="H390" s="12" t="n">
        <f aca="false">IF(G390="","",ROUND(G390*(1-Supuestos!$B$3),0))</f>
        <v>1120</v>
      </c>
      <c r="I390" s="9" t="s">
        <v>1133</v>
      </c>
      <c r="J390" s="9"/>
      <c r="K390" s="9"/>
      <c r="L390" s="9" t="s">
        <v>1134</v>
      </c>
      <c r="M390" s="13" t="s">
        <v>1135</v>
      </c>
    </row>
    <row r="391" customFormat="false" ht="15" hidden="false" customHeight="true" outlineLevel="0" collapsed="false">
      <c r="A391" s="9" t="s">
        <v>1136</v>
      </c>
      <c r="B391" s="9" t="s">
        <v>1137</v>
      </c>
      <c r="C391" s="9" t="s">
        <v>24</v>
      </c>
      <c r="D391" s="9" t="s">
        <v>25</v>
      </c>
      <c r="E391" s="10" t="n">
        <v>4.3</v>
      </c>
      <c r="F391" s="9" t="n">
        <v>9</v>
      </c>
      <c r="G391" s="11" t="n">
        <v>3417</v>
      </c>
      <c r="H391" s="12" t="n">
        <f aca="false">IF(G391="","",ROUND(G391*(1-Supuestos!$B$3),0))</f>
        <v>2392</v>
      </c>
      <c r="I391" s="9" t="s">
        <v>1138</v>
      </c>
      <c r="J391" s="9" t="s">
        <v>1139</v>
      </c>
      <c r="K391" s="9" t="s">
        <v>1140</v>
      </c>
      <c r="L391" s="9" t="s">
        <v>1141</v>
      </c>
      <c r="M391" s="13" t="s">
        <v>1142</v>
      </c>
    </row>
    <row r="392" customFormat="false" ht="15" hidden="false" customHeight="true" outlineLevel="0" collapsed="false">
      <c r="A392" s="9" t="s">
        <v>1143</v>
      </c>
      <c r="B392" s="9" t="s">
        <v>1144</v>
      </c>
      <c r="C392" s="9" t="s">
        <v>24</v>
      </c>
      <c r="D392" s="9" t="s">
        <v>25</v>
      </c>
      <c r="E392" s="10" t="n">
        <v>5</v>
      </c>
      <c r="F392" s="9" t="n">
        <v>23</v>
      </c>
      <c r="G392" s="11" t="n">
        <v>600</v>
      </c>
      <c r="H392" s="12" t="n">
        <f aca="false">IF(G392="","",ROUND(G392*(1-Supuestos!$B$3),0))</f>
        <v>420</v>
      </c>
      <c r="I392" s="9" t="s">
        <v>1145</v>
      </c>
      <c r="J392" s="9" t="s">
        <v>1146</v>
      </c>
      <c r="K392" s="9" t="s">
        <v>1147</v>
      </c>
      <c r="L392" s="9" t="s">
        <v>1148</v>
      </c>
      <c r="M392" s="13" t="s">
        <v>1149</v>
      </c>
    </row>
    <row r="393" customFormat="false" ht="15" hidden="false" customHeight="true" outlineLevel="0" collapsed="false">
      <c r="A393" s="9" t="s">
        <v>1150</v>
      </c>
      <c r="B393" s="9" t="s">
        <v>1151</v>
      </c>
      <c r="C393" s="9" t="s">
        <v>24</v>
      </c>
      <c r="D393" s="9" t="s">
        <v>50</v>
      </c>
      <c r="E393" s="10"/>
      <c r="F393" s="9" t="n">
        <v>0</v>
      </c>
      <c r="G393" s="11" t="n">
        <v>945</v>
      </c>
      <c r="H393" s="12" t="n">
        <f aca="false">IF(G393="","",ROUND(G393*(1-Supuestos!$B$3),0))</f>
        <v>662</v>
      </c>
      <c r="I393" s="9"/>
      <c r="J393" s="9"/>
      <c r="K393" s="9"/>
      <c r="L393" s="9"/>
      <c r="M393" s="13" t="s">
        <v>1152</v>
      </c>
    </row>
    <row r="394" customFormat="false" ht="15" hidden="false" customHeight="true" outlineLevel="0" collapsed="false">
      <c r="A394" s="9" t="s">
        <v>1153</v>
      </c>
      <c r="B394" s="9" t="s">
        <v>1154</v>
      </c>
      <c r="C394" s="9" t="s">
        <v>24</v>
      </c>
      <c r="D394" s="9" t="s">
        <v>25</v>
      </c>
      <c r="E394" s="10" t="n">
        <v>5</v>
      </c>
      <c r="F394" s="9" t="n">
        <v>14</v>
      </c>
      <c r="G394" s="11" t="n">
        <v>450</v>
      </c>
      <c r="H394" s="12" t="n">
        <f aca="false">IF(G394="","",ROUND(G394*(1-Supuestos!$B$3),0))</f>
        <v>315</v>
      </c>
      <c r="I394" s="9"/>
      <c r="J394" s="9"/>
      <c r="K394" s="9"/>
      <c r="L394" s="9"/>
      <c r="M394" s="13" t="s">
        <v>1155</v>
      </c>
    </row>
    <row r="395" customFormat="false" ht="15" hidden="false" customHeight="true" outlineLevel="0" collapsed="false">
      <c r="A395" s="9" t="s">
        <v>1156</v>
      </c>
      <c r="B395" s="9" t="s">
        <v>1157</v>
      </c>
      <c r="C395" s="9" t="s">
        <v>24</v>
      </c>
      <c r="D395" s="9" t="s">
        <v>25</v>
      </c>
      <c r="E395" s="10" t="n">
        <v>5</v>
      </c>
      <c r="F395" s="9" t="n">
        <v>1</v>
      </c>
      <c r="G395" s="11" t="n">
        <v>450</v>
      </c>
      <c r="H395" s="12" t="n">
        <f aca="false">IF(G395="","",ROUND(G395*(1-Supuestos!$B$3),0))</f>
        <v>315</v>
      </c>
      <c r="I395" s="9"/>
      <c r="J395" s="9"/>
      <c r="K395" s="9"/>
      <c r="L395" s="9"/>
      <c r="M395" s="13" t="s">
        <v>1158</v>
      </c>
    </row>
    <row r="396" customFormat="false" ht="15" hidden="false" customHeight="true" outlineLevel="0" collapsed="false">
      <c r="A396" s="9" t="s">
        <v>1159</v>
      </c>
      <c r="B396" s="9" t="s">
        <v>1160</v>
      </c>
      <c r="C396" s="9" t="s">
        <v>24</v>
      </c>
      <c r="D396" s="9" t="s">
        <v>25</v>
      </c>
      <c r="E396" s="10" t="n">
        <v>5</v>
      </c>
      <c r="F396" s="9" t="n">
        <v>1</v>
      </c>
      <c r="G396" s="11" t="n">
        <v>5005</v>
      </c>
      <c r="H396" s="12" t="n">
        <f aca="false">IF(G396="","",ROUND(G396*(1-Supuestos!$B$3),0))</f>
        <v>3504</v>
      </c>
      <c r="I396" s="9"/>
      <c r="J396" s="9"/>
      <c r="K396" s="9"/>
      <c r="L396" s="9"/>
      <c r="M396" s="13" t="s">
        <v>1161</v>
      </c>
    </row>
    <row r="397" customFormat="false" ht="15" hidden="false" customHeight="true" outlineLevel="0" collapsed="false">
      <c r="A397" s="9" t="s">
        <v>1162</v>
      </c>
      <c r="B397" s="9" t="s">
        <v>1163</v>
      </c>
      <c r="C397" s="9" t="s">
        <v>24</v>
      </c>
      <c r="D397" s="9" t="s">
        <v>50</v>
      </c>
      <c r="E397" s="10"/>
      <c r="F397" s="9" t="n">
        <v>0</v>
      </c>
      <c r="G397" s="11" t="n">
        <v>1000</v>
      </c>
      <c r="H397" s="12" t="n">
        <f aca="false">IF(G397="","",ROUND(G397*(1-Supuestos!$B$3),0))</f>
        <v>700</v>
      </c>
      <c r="I397" s="9"/>
      <c r="J397" s="9"/>
      <c r="K397" s="9"/>
      <c r="L397" s="9"/>
      <c r="M397" s="13" t="s">
        <v>1164</v>
      </c>
    </row>
    <row r="398" customFormat="false" ht="15" hidden="false" customHeight="true" outlineLevel="0" collapsed="false">
      <c r="A398" s="9" t="s">
        <v>1165</v>
      </c>
      <c r="B398" s="9" t="s">
        <v>1166</v>
      </c>
      <c r="C398" s="9" t="s">
        <v>42</v>
      </c>
      <c r="D398" s="9" t="s">
        <v>25</v>
      </c>
      <c r="E398" s="10" t="n">
        <v>5</v>
      </c>
      <c r="F398" s="9" t="n">
        <v>531</v>
      </c>
      <c r="G398" s="11" t="n">
        <v>1200</v>
      </c>
      <c r="H398" s="12" t="n">
        <f aca="false">IF(G398="","",ROUND(G398*(1-Supuestos!$B$3),0))</f>
        <v>840</v>
      </c>
      <c r="I398" s="9"/>
      <c r="J398" s="9" t="s">
        <v>1167</v>
      </c>
      <c r="K398" s="9"/>
      <c r="L398" s="9"/>
      <c r="M398" s="13" t="s">
        <v>1168</v>
      </c>
    </row>
    <row r="399" customFormat="false" ht="15" hidden="false" customHeight="true" outlineLevel="0" collapsed="false">
      <c r="A399" s="9" t="s">
        <v>1165</v>
      </c>
      <c r="B399" s="9" t="s">
        <v>1166</v>
      </c>
      <c r="C399" s="9" t="s">
        <v>42</v>
      </c>
      <c r="D399" s="9" t="s">
        <v>50</v>
      </c>
      <c r="E399" s="10" t="n">
        <v>4.97</v>
      </c>
      <c r="F399" s="9" t="n">
        <v>367</v>
      </c>
      <c r="G399" s="11" t="n">
        <v>1200</v>
      </c>
      <c r="H399" s="12" t="n">
        <f aca="false">IF(G399="","",ROUND(G399*(1-Supuestos!$B$3),0))</f>
        <v>840</v>
      </c>
      <c r="I399" s="9"/>
      <c r="J399" s="9" t="s">
        <v>1167</v>
      </c>
      <c r="K399" s="9"/>
      <c r="L399" s="9"/>
      <c r="M399" s="13" t="s">
        <v>1169</v>
      </c>
    </row>
    <row r="400" customFormat="false" ht="15" hidden="false" customHeight="true" outlineLevel="0" collapsed="false">
      <c r="A400" s="9" t="s">
        <v>1165</v>
      </c>
      <c r="B400" s="9" t="s">
        <v>1166</v>
      </c>
      <c r="C400" s="9" t="s">
        <v>42</v>
      </c>
      <c r="D400" s="9" t="s">
        <v>38</v>
      </c>
      <c r="E400" s="10" t="n">
        <v>4.97</v>
      </c>
      <c r="F400" s="9" t="n">
        <v>833</v>
      </c>
      <c r="G400" s="11" t="n">
        <v>1184</v>
      </c>
      <c r="H400" s="12" t="n">
        <f aca="false">IF(G400="","",ROUND(G400*(1-Supuestos!$B$3),0))</f>
        <v>829</v>
      </c>
      <c r="I400" s="9"/>
      <c r="J400" s="9" t="s">
        <v>1167</v>
      </c>
      <c r="K400" s="9"/>
      <c r="L400" s="9"/>
      <c r="M400" s="13" t="s">
        <v>1170</v>
      </c>
    </row>
    <row r="401" customFormat="false" ht="15" hidden="false" customHeight="true" outlineLevel="0" collapsed="false">
      <c r="A401" s="9" t="s">
        <v>1171</v>
      </c>
      <c r="B401" s="9" t="s">
        <v>1172</v>
      </c>
      <c r="C401" s="9" t="s">
        <v>24</v>
      </c>
      <c r="D401" s="9" t="s">
        <v>25</v>
      </c>
      <c r="E401" s="10" t="n">
        <v>5</v>
      </c>
      <c r="F401" s="9" t="n">
        <v>3</v>
      </c>
      <c r="G401" s="11" t="n">
        <v>875</v>
      </c>
      <c r="H401" s="12" t="n">
        <f aca="false">IF(G401="","",ROUND(G401*(1-Supuestos!$B$3),0))</f>
        <v>613</v>
      </c>
      <c r="I401" s="9"/>
      <c r="J401" s="9"/>
      <c r="K401" s="9"/>
      <c r="L401" s="9"/>
      <c r="M401" s="13" t="s">
        <v>1173</v>
      </c>
    </row>
    <row r="402" customFormat="false" ht="15" hidden="false" customHeight="true" outlineLevel="0" collapsed="false">
      <c r="A402" s="9" t="s">
        <v>1174</v>
      </c>
      <c r="B402" s="9" t="s">
        <v>1175</v>
      </c>
      <c r="C402" s="9" t="s">
        <v>24</v>
      </c>
      <c r="D402" s="9" t="s">
        <v>25</v>
      </c>
      <c r="E402" s="10" t="n">
        <v>5</v>
      </c>
      <c r="F402" s="9" t="n">
        <v>3</v>
      </c>
      <c r="G402" s="11" t="n">
        <v>1488</v>
      </c>
      <c r="H402" s="12" t="n">
        <f aca="false">IF(G402="","",ROUND(G402*(1-Supuestos!$B$3),0))</f>
        <v>1042</v>
      </c>
      <c r="I402" s="9"/>
      <c r="J402" s="9"/>
      <c r="K402" s="9"/>
      <c r="L402" s="9"/>
      <c r="M402" s="13" t="s">
        <v>1176</v>
      </c>
    </row>
    <row r="403" customFormat="false" ht="15" hidden="false" customHeight="true" outlineLevel="0" collapsed="false">
      <c r="A403" s="9" t="s">
        <v>1177</v>
      </c>
      <c r="B403" s="9" t="s">
        <v>1178</v>
      </c>
      <c r="C403" s="9" t="s">
        <v>42</v>
      </c>
      <c r="D403" s="9" t="s">
        <v>50</v>
      </c>
      <c r="E403" s="10"/>
      <c r="F403" s="9" t="n">
        <v>0</v>
      </c>
      <c r="G403" s="11" t="n">
        <v>1305</v>
      </c>
      <c r="H403" s="12" t="n">
        <f aca="false">IF(G403="","",ROUND(G403*(1-Supuestos!$B$3),0))</f>
        <v>913</v>
      </c>
      <c r="I403" s="9"/>
      <c r="J403" s="9"/>
      <c r="K403" s="9"/>
      <c r="L403" s="9"/>
      <c r="M403" s="13" t="s">
        <v>1179</v>
      </c>
    </row>
    <row r="404" customFormat="false" ht="15" hidden="false" customHeight="true" outlineLevel="0" collapsed="false">
      <c r="A404" s="9" t="s">
        <v>1177</v>
      </c>
      <c r="B404" s="9" t="s">
        <v>1180</v>
      </c>
      <c r="C404" s="9" t="s">
        <v>42</v>
      </c>
      <c r="D404" s="9" t="s">
        <v>50</v>
      </c>
      <c r="E404" s="10" t="n">
        <v>5</v>
      </c>
      <c r="F404" s="9" t="n">
        <v>1</v>
      </c>
      <c r="G404" s="11" t="n">
        <v>1250</v>
      </c>
      <c r="H404" s="12" t="n">
        <f aca="false">IF(G404="","",ROUND(G404*(1-Supuestos!$B$3),0))</f>
        <v>875</v>
      </c>
      <c r="I404" s="9"/>
      <c r="J404" s="9"/>
      <c r="K404" s="9"/>
      <c r="L404" s="9"/>
      <c r="M404" s="13" t="s">
        <v>1181</v>
      </c>
    </row>
    <row r="405" customFormat="false" ht="15" hidden="false" customHeight="true" outlineLevel="0" collapsed="false">
      <c r="A405" s="9" t="s">
        <v>1182</v>
      </c>
      <c r="B405" s="9" t="s">
        <v>1183</v>
      </c>
      <c r="C405" s="9" t="s">
        <v>24</v>
      </c>
      <c r="D405" s="9" t="s">
        <v>50</v>
      </c>
      <c r="E405" s="10"/>
      <c r="F405" s="9" t="n">
        <v>0</v>
      </c>
      <c r="G405" s="11" t="n">
        <v>1215</v>
      </c>
      <c r="H405" s="12" t="n">
        <f aca="false">IF(G405="","",ROUND(G405*(1-Supuestos!$B$3),0))</f>
        <v>851</v>
      </c>
      <c r="I405" s="9"/>
      <c r="J405" s="9"/>
      <c r="K405" s="9"/>
      <c r="L405" s="9"/>
      <c r="M405" s="13" t="s">
        <v>1184</v>
      </c>
    </row>
    <row r="406" customFormat="false" ht="15" hidden="false" customHeight="true" outlineLevel="0" collapsed="false">
      <c r="A406" s="9" t="s">
        <v>1185</v>
      </c>
      <c r="B406" s="9" t="s">
        <v>1186</v>
      </c>
      <c r="C406" s="9" t="s">
        <v>24</v>
      </c>
      <c r="D406" s="9" t="s">
        <v>50</v>
      </c>
      <c r="E406" s="10" t="n">
        <v>4.76</v>
      </c>
      <c r="F406" s="9" t="n">
        <v>3</v>
      </c>
      <c r="G406" s="11" t="n">
        <v>2594</v>
      </c>
      <c r="H406" s="12" t="n">
        <f aca="false">IF(G406="","",ROUND(G406*(1-Supuestos!$B$3),0))</f>
        <v>1816</v>
      </c>
      <c r="I406" s="9" t="s">
        <v>1187</v>
      </c>
      <c r="J406" s="9" t="s">
        <v>1188</v>
      </c>
      <c r="K406" s="9" t="s">
        <v>1189</v>
      </c>
      <c r="L406" s="9"/>
      <c r="M406" s="13" t="s">
        <v>1190</v>
      </c>
    </row>
    <row r="407" customFormat="false" ht="15" hidden="false" customHeight="true" outlineLevel="0" collapsed="false">
      <c r="A407" s="9" t="s">
        <v>1185</v>
      </c>
      <c r="B407" s="9" t="s">
        <v>1191</v>
      </c>
      <c r="C407" s="9" t="s">
        <v>24</v>
      </c>
      <c r="D407" s="9" t="s">
        <v>25</v>
      </c>
      <c r="E407" s="10" t="n">
        <v>4.9</v>
      </c>
      <c r="F407" s="9" t="n">
        <v>89</v>
      </c>
      <c r="G407" s="11" t="n">
        <v>2730</v>
      </c>
      <c r="H407" s="12" t="n">
        <f aca="false">IF(G407="","",ROUND(G407*(1-Supuestos!$B$3),0))</f>
        <v>1911</v>
      </c>
      <c r="I407" s="9" t="s">
        <v>1187</v>
      </c>
      <c r="J407" s="9" t="s">
        <v>1188</v>
      </c>
      <c r="K407" s="9" t="s">
        <v>1189</v>
      </c>
      <c r="L407" s="9"/>
      <c r="M407" s="13" t="s">
        <v>1192</v>
      </c>
    </row>
    <row r="408" customFormat="false" ht="15" hidden="false" customHeight="true" outlineLevel="0" collapsed="false">
      <c r="A408" s="9" t="s">
        <v>1193</v>
      </c>
      <c r="B408" s="9" t="s">
        <v>1194</v>
      </c>
      <c r="C408" s="9" t="s">
        <v>46</v>
      </c>
      <c r="D408" s="9" t="s">
        <v>25</v>
      </c>
      <c r="E408" s="10" t="n">
        <v>4.8</v>
      </c>
      <c r="F408" s="9" t="n">
        <v>194</v>
      </c>
      <c r="G408" s="11" t="n">
        <v>1663</v>
      </c>
      <c r="H408" s="12" t="n">
        <f aca="false">IF(G408="","",ROUND(G408*(1-Supuestos!$B$3),0))</f>
        <v>1164</v>
      </c>
      <c r="I408" s="9" t="s">
        <v>1195</v>
      </c>
      <c r="J408" s="9" t="s">
        <v>1196</v>
      </c>
      <c r="K408" s="9" t="s">
        <v>1197</v>
      </c>
      <c r="L408" s="9" t="s">
        <v>1198</v>
      </c>
      <c r="M408" s="13" t="s">
        <v>1199</v>
      </c>
    </row>
    <row r="409" customFormat="false" ht="15" hidden="false" customHeight="true" outlineLevel="0" collapsed="false">
      <c r="A409" s="9" t="s">
        <v>1193</v>
      </c>
      <c r="B409" s="9" t="s">
        <v>1194</v>
      </c>
      <c r="C409" s="9" t="s">
        <v>46</v>
      </c>
      <c r="D409" s="9" t="s">
        <v>38</v>
      </c>
      <c r="E409" s="10" t="n">
        <v>4.86</v>
      </c>
      <c r="F409" s="9" t="n">
        <v>742</v>
      </c>
      <c r="G409" s="11" t="n">
        <v>1628</v>
      </c>
      <c r="H409" s="12" t="n">
        <f aca="false">IF(G409="","",ROUND(G409*(1-Supuestos!$B$3),0))</f>
        <v>1140</v>
      </c>
      <c r="I409" s="9" t="s">
        <v>1195</v>
      </c>
      <c r="J409" s="9" t="s">
        <v>1196</v>
      </c>
      <c r="K409" s="9" t="s">
        <v>1197</v>
      </c>
      <c r="L409" s="9" t="s">
        <v>1198</v>
      </c>
      <c r="M409" s="13" t="s">
        <v>1200</v>
      </c>
    </row>
    <row r="410" customFormat="false" ht="15" hidden="false" customHeight="true" outlineLevel="0" collapsed="false">
      <c r="A410" s="9" t="s">
        <v>1201</v>
      </c>
      <c r="B410" s="9" t="s">
        <v>1202</v>
      </c>
      <c r="C410" s="9" t="s">
        <v>24</v>
      </c>
      <c r="D410" s="9" t="s">
        <v>25</v>
      </c>
      <c r="E410" s="10" t="n">
        <v>5</v>
      </c>
      <c r="F410" s="9" t="n">
        <v>14</v>
      </c>
      <c r="G410" s="11" t="n">
        <v>1600</v>
      </c>
      <c r="H410" s="12" t="n">
        <f aca="false">IF(G410="","",ROUND(G410*(1-Supuestos!$B$3),0))</f>
        <v>1120</v>
      </c>
      <c r="I410" s="9" t="s">
        <v>1203</v>
      </c>
      <c r="J410" s="9" t="s">
        <v>1204</v>
      </c>
      <c r="K410" s="9" t="s">
        <v>1205</v>
      </c>
      <c r="L410" s="9" t="s">
        <v>1206</v>
      </c>
      <c r="M410" s="13" t="s">
        <v>1207</v>
      </c>
    </row>
    <row r="411" customFormat="false" ht="15" hidden="false" customHeight="true" outlineLevel="0" collapsed="false">
      <c r="A411" s="9" t="s">
        <v>1208</v>
      </c>
      <c r="B411" s="9" t="s">
        <v>1209</v>
      </c>
      <c r="C411" s="9" t="s">
        <v>24</v>
      </c>
      <c r="D411" s="9" t="s">
        <v>50</v>
      </c>
      <c r="E411" s="10" t="n">
        <v>4.35</v>
      </c>
      <c r="F411" s="9" t="n">
        <v>3</v>
      </c>
      <c r="G411" s="11" t="n">
        <v>703.13</v>
      </c>
      <c r="H411" s="12" t="n">
        <f aca="false">IF(G411="","",ROUND(G411*(1-Supuestos!$B$3),0))</f>
        <v>492</v>
      </c>
      <c r="I411" s="9" t="s">
        <v>1210</v>
      </c>
      <c r="J411" s="9"/>
      <c r="K411" s="9"/>
      <c r="L411" s="9"/>
      <c r="M411" s="13" t="s">
        <v>1211</v>
      </c>
    </row>
    <row r="412" customFormat="false" ht="15" hidden="false" customHeight="true" outlineLevel="0" collapsed="false">
      <c r="A412" s="9" t="s">
        <v>1212</v>
      </c>
      <c r="B412" s="9" t="s">
        <v>1213</v>
      </c>
      <c r="C412" s="9" t="s">
        <v>24</v>
      </c>
      <c r="D412" s="9" t="s">
        <v>25</v>
      </c>
      <c r="E412" s="10" t="n">
        <v>4.8</v>
      </c>
      <c r="F412" s="9" t="n">
        <v>91</v>
      </c>
      <c r="G412" s="11" t="n">
        <v>1390</v>
      </c>
      <c r="H412" s="12" t="n">
        <f aca="false">IF(G412="","",ROUND(G412*(1-Supuestos!$B$3),0))</f>
        <v>973</v>
      </c>
      <c r="I412" s="9" t="s">
        <v>1214</v>
      </c>
      <c r="J412" s="9" t="s">
        <v>1215</v>
      </c>
      <c r="K412" s="9"/>
      <c r="L412" s="9"/>
      <c r="M412" s="13" t="s">
        <v>1216</v>
      </c>
    </row>
    <row r="413" customFormat="false" ht="15" hidden="false" customHeight="true" outlineLevel="0" collapsed="false">
      <c r="A413" s="9" t="s">
        <v>1212</v>
      </c>
      <c r="B413" s="9" t="s">
        <v>1213</v>
      </c>
      <c r="C413" s="9" t="s">
        <v>24</v>
      </c>
      <c r="D413" s="9" t="s">
        <v>38</v>
      </c>
      <c r="E413" s="10" t="n">
        <v>4.97</v>
      </c>
      <c r="F413" s="9" t="n">
        <v>3880</v>
      </c>
      <c r="G413" s="11" t="n">
        <v>1350</v>
      </c>
      <c r="H413" s="12" t="n">
        <f aca="false">IF(G413="","",ROUND(G413*(1-Supuestos!$B$3),0))</f>
        <v>945</v>
      </c>
      <c r="I413" s="9" t="s">
        <v>1214</v>
      </c>
      <c r="J413" s="9" t="s">
        <v>1215</v>
      </c>
      <c r="K413" s="9"/>
      <c r="L413" s="9"/>
      <c r="M413" s="13" t="s">
        <v>1217</v>
      </c>
    </row>
    <row r="414" customFormat="false" ht="15" hidden="false" customHeight="true" outlineLevel="0" collapsed="false">
      <c r="A414" s="9" t="s">
        <v>1212</v>
      </c>
      <c r="B414" s="9" t="s">
        <v>1218</v>
      </c>
      <c r="C414" s="9" t="s">
        <v>24</v>
      </c>
      <c r="D414" s="9" t="s">
        <v>38</v>
      </c>
      <c r="E414" s="10" t="n">
        <v>4.93</v>
      </c>
      <c r="F414" s="9" t="n">
        <v>45</v>
      </c>
      <c r="G414" s="11" t="n">
        <v>1314</v>
      </c>
      <c r="H414" s="12" t="n">
        <f aca="false">IF(G414="","",ROUND(G414*(1-Supuestos!$B$3),0))</f>
        <v>920</v>
      </c>
      <c r="I414" s="9" t="s">
        <v>1214</v>
      </c>
      <c r="J414" s="9" t="s">
        <v>1215</v>
      </c>
      <c r="K414" s="9"/>
      <c r="L414" s="9"/>
      <c r="M414" s="13" t="s">
        <v>1219</v>
      </c>
    </row>
    <row r="415" customFormat="false" ht="15" hidden="false" customHeight="true" outlineLevel="0" collapsed="false">
      <c r="A415" s="9" t="s">
        <v>1220</v>
      </c>
      <c r="B415" s="9" t="s">
        <v>1221</v>
      </c>
      <c r="C415" s="9" t="s">
        <v>24</v>
      </c>
      <c r="D415" s="9" t="s">
        <v>25</v>
      </c>
      <c r="E415" s="10"/>
      <c r="F415" s="9" t="n">
        <v>0</v>
      </c>
      <c r="G415" s="11" t="n">
        <v>1100</v>
      </c>
      <c r="H415" s="12" t="n">
        <f aca="false">IF(G415="","",ROUND(G415*(1-Supuestos!$B$3),0))</f>
        <v>770</v>
      </c>
      <c r="I415" s="9"/>
      <c r="J415" s="9"/>
      <c r="K415" s="9"/>
      <c r="L415" s="9"/>
      <c r="M415" s="13" t="s">
        <v>1222</v>
      </c>
    </row>
    <row r="416" customFormat="false" ht="15" hidden="false" customHeight="true" outlineLevel="0" collapsed="false">
      <c r="A416" s="9" t="s">
        <v>1220</v>
      </c>
      <c r="B416" s="9" t="s">
        <v>1223</v>
      </c>
      <c r="C416" s="9" t="s">
        <v>24</v>
      </c>
      <c r="D416" s="9" t="s">
        <v>25</v>
      </c>
      <c r="E416" s="10"/>
      <c r="F416" s="9" t="n">
        <v>0</v>
      </c>
      <c r="G416" s="11" t="n">
        <v>1300</v>
      </c>
      <c r="H416" s="12" t="n">
        <f aca="false">IF(G416="","",ROUND(G416*(1-Supuestos!$B$3),0))</f>
        <v>910</v>
      </c>
      <c r="I416" s="9"/>
      <c r="J416" s="9"/>
      <c r="K416" s="9"/>
      <c r="L416" s="9"/>
      <c r="M416" s="13" t="s">
        <v>1224</v>
      </c>
    </row>
    <row r="417" customFormat="false" ht="15" hidden="false" customHeight="true" outlineLevel="0" collapsed="false">
      <c r="A417" s="9" t="s">
        <v>1225</v>
      </c>
      <c r="B417" s="9" t="s">
        <v>1226</v>
      </c>
      <c r="C417" s="9" t="s">
        <v>24</v>
      </c>
      <c r="D417" s="9" t="s">
        <v>50</v>
      </c>
      <c r="E417" s="10" t="n">
        <v>5</v>
      </c>
      <c r="F417" s="9" t="n">
        <v>3</v>
      </c>
      <c r="G417" s="11" t="n">
        <v>782.02</v>
      </c>
      <c r="H417" s="12" t="n">
        <f aca="false">IF(G417="","",ROUND(G417*(1-Supuestos!$B$3),0))</f>
        <v>547</v>
      </c>
      <c r="I417" s="9"/>
      <c r="J417" s="9"/>
      <c r="K417" s="9"/>
      <c r="L417" s="9"/>
      <c r="M417" s="13" t="s">
        <v>1227</v>
      </c>
    </row>
    <row r="418" customFormat="false" ht="15" hidden="false" customHeight="true" outlineLevel="0" collapsed="false">
      <c r="A418" s="9" t="s">
        <v>1228</v>
      </c>
      <c r="B418" s="9" t="s">
        <v>1229</v>
      </c>
      <c r="C418" s="9" t="s">
        <v>24</v>
      </c>
      <c r="D418" s="9" t="s">
        <v>38</v>
      </c>
      <c r="E418" s="10" t="n">
        <v>4.97</v>
      </c>
      <c r="F418" s="9" t="n">
        <v>186</v>
      </c>
      <c r="G418" s="11" t="n">
        <v>1998</v>
      </c>
      <c r="H418" s="12" t="n">
        <f aca="false">IF(G418="","",ROUND(G418*(1-Supuestos!$B$3),0))</f>
        <v>1399</v>
      </c>
      <c r="I418" s="9"/>
      <c r="J418" s="9" t="s">
        <v>1230</v>
      </c>
      <c r="K418" s="9"/>
      <c r="L418" s="9"/>
      <c r="M418" s="13" t="s">
        <v>1231</v>
      </c>
    </row>
    <row r="419" customFormat="false" ht="15" hidden="false" customHeight="true" outlineLevel="0" collapsed="false">
      <c r="A419" s="9" t="s">
        <v>1232</v>
      </c>
      <c r="B419" s="9" t="s">
        <v>1233</v>
      </c>
      <c r="C419" s="9" t="s">
        <v>24</v>
      </c>
      <c r="D419" s="9" t="s">
        <v>25</v>
      </c>
      <c r="E419" s="10" t="n">
        <v>4.9</v>
      </c>
      <c r="F419" s="9" t="n">
        <v>11</v>
      </c>
      <c r="G419" s="11" t="n">
        <v>3395</v>
      </c>
      <c r="H419" s="12" t="n">
        <f aca="false">IF(G419="","",ROUND(G419*(1-Supuestos!$B$3),0))</f>
        <v>2377</v>
      </c>
      <c r="I419" s="9" t="s">
        <v>1234</v>
      </c>
      <c r="J419" s="9" t="s">
        <v>1235</v>
      </c>
      <c r="K419" s="9" t="s">
        <v>1236</v>
      </c>
      <c r="L419" s="9" t="s">
        <v>1237</v>
      </c>
      <c r="M419" s="13" t="s">
        <v>1238</v>
      </c>
    </row>
    <row r="420" customFormat="false" ht="15" hidden="false" customHeight="true" outlineLevel="0" collapsed="false">
      <c r="A420" s="9" t="s">
        <v>1232</v>
      </c>
      <c r="B420" s="9" t="s">
        <v>1239</v>
      </c>
      <c r="C420" s="9" t="s">
        <v>24</v>
      </c>
      <c r="D420" s="9" t="s">
        <v>50</v>
      </c>
      <c r="E420" s="10" t="n">
        <v>5</v>
      </c>
      <c r="F420" s="9" t="n">
        <v>1</v>
      </c>
      <c r="G420" s="11" t="n">
        <v>3327.02</v>
      </c>
      <c r="H420" s="12" t="n">
        <f aca="false">IF(G420="","",ROUND(G420*(1-Supuestos!$B$3),0))</f>
        <v>2329</v>
      </c>
      <c r="I420" s="9" t="s">
        <v>1234</v>
      </c>
      <c r="J420" s="9" t="s">
        <v>1235</v>
      </c>
      <c r="K420" s="9" t="s">
        <v>1236</v>
      </c>
      <c r="L420" s="9" t="s">
        <v>1237</v>
      </c>
      <c r="M420" s="13" t="s">
        <v>1240</v>
      </c>
    </row>
    <row r="421" customFormat="false" ht="15" hidden="false" customHeight="true" outlineLevel="0" collapsed="false">
      <c r="A421" s="9" t="s">
        <v>1241</v>
      </c>
      <c r="B421" s="9" t="s">
        <v>1242</v>
      </c>
      <c r="C421" s="9" t="s">
        <v>24</v>
      </c>
      <c r="D421" s="9" t="s">
        <v>38</v>
      </c>
      <c r="E421" s="10" t="n">
        <v>4.97</v>
      </c>
      <c r="F421" s="9" t="n">
        <v>486</v>
      </c>
      <c r="G421" s="11" t="n">
        <v>1314</v>
      </c>
      <c r="H421" s="12" t="n">
        <f aca="false">IF(G421="","",ROUND(G421*(1-Supuestos!$B$3),0))</f>
        <v>920</v>
      </c>
      <c r="I421" s="9"/>
      <c r="J421" s="9"/>
      <c r="K421" s="9"/>
      <c r="L421" s="9"/>
      <c r="M421" s="13" t="s">
        <v>1243</v>
      </c>
    </row>
    <row r="422" customFormat="false" ht="15" hidden="false" customHeight="true" outlineLevel="0" collapsed="false">
      <c r="A422" s="9" t="s">
        <v>1241</v>
      </c>
      <c r="B422" s="9" t="s">
        <v>1242</v>
      </c>
      <c r="C422" s="9" t="s">
        <v>24</v>
      </c>
      <c r="D422" s="9" t="s">
        <v>25</v>
      </c>
      <c r="E422" s="10" t="n">
        <v>5</v>
      </c>
      <c r="F422" s="9" t="n">
        <v>18</v>
      </c>
      <c r="G422" s="11" t="n">
        <v>1400</v>
      </c>
      <c r="H422" s="12" t="n">
        <f aca="false">IF(G422="","",ROUND(G422*(1-Supuestos!$B$3),0))</f>
        <v>980</v>
      </c>
      <c r="I422" s="9"/>
      <c r="J422" s="9"/>
      <c r="K422" s="9"/>
      <c r="L422" s="9"/>
      <c r="M422" s="13" t="s">
        <v>1244</v>
      </c>
    </row>
    <row r="423" customFormat="false" ht="15" hidden="false" customHeight="true" outlineLevel="0" collapsed="false">
      <c r="A423" s="9" t="s">
        <v>1241</v>
      </c>
      <c r="B423" s="9" t="s">
        <v>1245</v>
      </c>
      <c r="C423" s="9" t="s">
        <v>24</v>
      </c>
      <c r="D423" s="9" t="s">
        <v>25</v>
      </c>
      <c r="E423" s="10" t="n">
        <v>5</v>
      </c>
      <c r="F423" s="9" t="n">
        <v>3</v>
      </c>
      <c r="G423" s="11" t="n">
        <v>1400</v>
      </c>
      <c r="H423" s="12" t="n">
        <f aca="false">IF(G423="","",ROUND(G423*(1-Supuestos!$B$3),0))</f>
        <v>980</v>
      </c>
      <c r="I423" s="9"/>
      <c r="J423" s="9"/>
      <c r="K423" s="9"/>
      <c r="L423" s="9"/>
      <c r="M423" s="13" t="s">
        <v>1246</v>
      </c>
    </row>
    <row r="424" customFormat="false" ht="15" hidden="false" customHeight="true" outlineLevel="0" collapsed="false">
      <c r="A424" s="9" t="s">
        <v>1241</v>
      </c>
      <c r="B424" s="9" t="s">
        <v>1245</v>
      </c>
      <c r="C424" s="9" t="s">
        <v>24</v>
      </c>
      <c r="D424" s="9" t="s">
        <v>38</v>
      </c>
      <c r="E424" s="10"/>
      <c r="F424" s="9" t="n">
        <v>0</v>
      </c>
      <c r="G424" s="11" t="n">
        <v>1388</v>
      </c>
      <c r="H424" s="12" t="n">
        <f aca="false">IF(G424="","",ROUND(G424*(1-Supuestos!$B$3),0))</f>
        <v>972</v>
      </c>
      <c r="I424" s="9"/>
      <c r="J424" s="9"/>
      <c r="K424" s="9"/>
      <c r="L424" s="9"/>
      <c r="M424" s="13" t="s">
        <v>1247</v>
      </c>
    </row>
    <row r="425" customFormat="false" ht="15" hidden="false" customHeight="true" outlineLevel="0" collapsed="false">
      <c r="A425" s="9" t="s">
        <v>1248</v>
      </c>
      <c r="B425" s="9" t="s">
        <v>1249</v>
      </c>
      <c r="C425" s="9" t="s">
        <v>24</v>
      </c>
      <c r="D425" s="9" t="s">
        <v>25</v>
      </c>
      <c r="E425" s="10"/>
      <c r="F425" s="9" t="n">
        <v>0</v>
      </c>
      <c r="G425" s="11" t="n">
        <v>1150</v>
      </c>
      <c r="H425" s="12" t="n">
        <f aca="false">IF(G425="","",ROUND(G425*(1-Supuestos!$B$3),0))</f>
        <v>805</v>
      </c>
      <c r="I425" s="9"/>
      <c r="J425" s="9"/>
      <c r="K425" s="9"/>
      <c r="L425" s="9"/>
      <c r="M425" s="13" t="s">
        <v>1250</v>
      </c>
    </row>
    <row r="426" customFormat="false" ht="15" hidden="false" customHeight="true" outlineLevel="0" collapsed="false">
      <c r="A426" s="9" t="s">
        <v>1251</v>
      </c>
      <c r="B426" s="9" t="s">
        <v>1252</v>
      </c>
      <c r="C426" s="9" t="s">
        <v>24</v>
      </c>
      <c r="D426" s="9" t="s">
        <v>25</v>
      </c>
      <c r="E426" s="10"/>
      <c r="F426" s="9" t="n">
        <v>0</v>
      </c>
      <c r="G426" s="11" t="n">
        <v>1050</v>
      </c>
      <c r="H426" s="12" t="n">
        <f aca="false">IF(G426="","",ROUND(G426*(1-Supuestos!$B$3),0))</f>
        <v>735</v>
      </c>
      <c r="I426" s="9" t="s">
        <v>1253</v>
      </c>
      <c r="J426" s="9" t="s">
        <v>1254</v>
      </c>
      <c r="K426" s="9"/>
      <c r="L426" s="9" t="s">
        <v>1255</v>
      </c>
      <c r="M426" s="13" t="s">
        <v>1256</v>
      </c>
    </row>
    <row r="427" customFormat="false" ht="15" hidden="false" customHeight="true" outlineLevel="0" collapsed="false">
      <c r="A427" s="9" t="s">
        <v>1251</v>
      </c>
      <c r="B427" s="9" t="s">
        <v>1257</v>
      </c>
      <c r="C427" s="9" t="s">
        <v>24</v>
      </c>
      <c r="D427" s="9" t="s">
        <v>25</v>
      </c>
      <c r="E427" s="10" t="n">
        <v>5</v>
      </c>
      <c r="F427" s="9" t="n">
        <v>3</v>
      </c>
      <c r="G427" s="11" t="n">
        <v>2100</v>
      </c>
      <c r="H427" s="12" t="n">
        <f aca="false">IF(G427="","",ROUND(G427*(1-Supuestos!$B$3),0))</f>
        <v>1470</v>
      </c>
      <c r="I427" s="9" t="s">
        <v>1253</v>
      </c>
      <c r="J427" s="9" t="s">
        <v>1254</v>
      </c>
      <c r="K427" s="9"/>
      <c r="L427" s="9" t="s">
        <v>1255</v>
      </c>
      <c r="M427" s="13" t="s">
        <v>1258</v>
      </c>
    </row>
    <row r="428" customFormat="false" ht="15" hidden="false" customHeight="true" outlineLevel="0" collapsed="false">
      <c r="A428" s="9" t="s">
        <v>1251</v>
      </c>
      <c r="B428" s="9" t="s">
        <v>1257</v>
      </c>
      <c r="C428" s="9" t="s">
        <v>24</v>
      </c>
      <c r="D428" s="9" t="s">
        <v>38</v>
      </c>
      <c r="E428" s="10"/>
      <c r="F428" s="9" t="n">
        <v>0</v>
      </c>
      <c r="G428" s="11" t="n">
        <v>1221</v>
      </c>
      <c r="H428" s="12" t="n">
        <f aca="false">IF(G428="","",ROUND(G428*(1-Supuestos!$B$3),0))</f>
        <v>855</v>
      </c>
      <c r="I428" s="9" t="s">
        <v>1253</v>
      </c>
      <c r="J428" s="9" t="s">
        <v>1254</v>
      </c>
      <c r="K428" s="9"/>
      <c r="L428" s="9" t="s">
        <v>1255</v>
      </c>
      <c r="M428" s="13" t="s">
        <v>1259</v>
      </c>
    </row>
    <row r="429" customFormat="false" ht="15" hidden="false" customHeight="true" outlineLevel="0" collapsed="false">
      <c r="A429" s="9" t="s">
        <v>1251</v>
      </c>
      <c r="B429" s="9" t="s">
        <v>1260</v>
      </c>
      <c r="C429" s="9" t="s">
        <v>24</v>
      </c>
      <c r="D429" s="9" t="s">
        <v>38</v>
      </c>
      <c r="E429" s="10" t="n">
        <v>4.83</v>
      </c>
      <c r="F429" s="9" t="n">
        <v>24</v>
      </c>
      <c r="G429" s="11" t="n">
        <v>3570</v>
      </c>
      <c r="H429" s="12" t="n">
        <f aca="false">IF(G429="","",ROUND(G429*(1-Supuestos!$B$3),0))</f>
        <v>2499</v>
      </c>
      <c r="I429" s="9" t="s">
        <v>1253</v>
      </c>
      <c r="J429" s="9" t="s">
        <v>1254</v>
      </c>
      <c r="K429" s="9"/>
      <c r="L429" s="9" t="s">
        <v>1255</v>
      </c>
      <c r="M429" s="13" t="s">
        <v>1261</v>
      </c>
    </row>
    <row r="430" customFormat="false" ht="15" hidden="false" customHeight="true" outlineLevel="0" collapsed="false">
      <c r="A430" s="9" t="s">
        <v>1251</v>
      </c>
      <c r="B430" s="9" t="s">
        <v>1262</v>
      </c>
      <c r="C430" s="9" t="s">
        <v>24</v>
      </c>
      <c r="D430" s="9" t="s">
        <v>38</v>
      </c>
      <c r="E430" s="10"/>
      <c r="F430" s="9" t="n">
        <v>0</v>
      </c>
      <c r="G430" s="11" t="n">
        <v>1961</v>
      </c>
      <c r="H430" s="12" t="n">
        <f aca="false">IF(G430="","",ROUND(G430*(1-Supuestos!$B$3),0))</f>
        <v>1373</v>
      </c>
      <c r="I430" s="9" t="s">
        <v>1253</v>
      </c>
      <c r="J430" s="9" t="s">
        <v>1254</v>
      </c>
      <c r="K430" s="9"/>
      <c r="L430" s="9" t="s">
        <v>1255</v>
      </c>
      <c r="M430" s="13" t="s">
        <v>1263</v>
      </c>
    </row>
    <row r="431" customFormat="false" ht="15" hidden="false" customHeight="true" outlineLevel="0" collapsed="false">
      <c r="A431" s="9" t="s">
        <v>1251</v>
      </c>
      <c r="B431" s="9" t="s">
        <v>1264</v>
      </c>
      <c r="C431" s="9" t="s">
        <v>24</v>
      </c>
      <c r="D431" s="9" t="s">
        <v>25</v>
      </c>
      <c r="E431" s="10" t="n">
        <v>5</v>
      </c>
      <c r="F431" s="9" t="n">
        <v>1</v>
      </c>
      <c r="G431" s="11" t="n">
        <v>875</v>
      </c>
      <c r="H431" s="12" t="n">
        <f aca="false">IF(G431="","",ROUND(G431*(1-Supuestos!$B$3),0))</f>
        <v>613</v>
      </c>
      <c r="I431" s="9" t="s">
        <v>1253</v>
      </c>
      <c r="J431" s="9" t="s">
        <v>1254</v>
      </c>
      <c r="K431" s="9"/>
      <c r="L431" s="9" t="s">
        <v>1255</v>
      </c>
      <c r="M431" s="13" t="s">
        <v>1265</v>
      </c>
    </row>
    <row r="432" customFormat="false" ht="15" hidden="false" customHeight="true" outlineLevel="0" collapsed="false">
      <c r="A432" s="9" t="s">
        <v>1251</v>
      </c>
      <c r="B432" s="9" t="s">
        <v>1266</v>
      </c>
      <c r="C432" s="9" t="s">
        <v>24</v>
      </c>
      <c r="D432" s="9" t="s">
        <v>38</v>
      </c>
      <c r="E432" s="10"/>
      <c r="F432" s="9" t="n">
        <v>0</v>
      </c>
      <c r="G432" s="11" t="n">
        <v>1314</v>
      </c>
      <c r="H432" s="12" t="n">
        <f aca="false">IF(G432="","",ROUND(G432*(1-Supuestos!$B$3),0))</f>
        <v>920</v>
      </c>
      <c r="I432" s="9" t="s">
        <v>1253</v>
      </c>
      <c r="J432" s="9" t="s">
        <v>1254</v>
      </c>
      <c r="K432" s="9"/>
      <c r="L432" s="9" t="s">
        <v>1255</v>
      </c>
      <c r="M432" s="13" t="s">
        <v>1267</v>
      </c>
    </row>
    <row r="433" customFormat="false" ht="15" hidden="false" customHeight="true" outlineLevel="0" collapsed="false">
      <c r="A433" s="9" t="s">
        <v>1251</v>
      </c>
      <c r="B433" s="9" t="s">
        <v>1268</v>
      </c>
      <c r="C433" s="9" t="s">
        <v>24</v>
      </c>
      <c r="D433" s="9" t="s">
        <v>38</v>
      </c>
      <c r="E433" s="10"/>
      <c r="F433" s="9" t="n">
        <v>0</v>
      </c>
      <c r="G433" s="11" t="n">
        <v>1202</v>
      </c>
      <c r="H433" s="12" t="n">
        <f aca="false">IF(G433="","",ROUND(G433*(1-Supuestos!$B$3),0))</f>
        <v>841</v>
      </c>
      <c r="I433" s="9" t="s">
        <v>1253</v>
      </c>
      <c r="J433" s="9" t="s">
        <v>1254</v>
      </c>
      <c r="K433" s="9"/>
      <c r="L433" s="9" t="s">
        <v>1255</v>
      </c>
      <c r="M433" s="13" t="s">
        <v>1269</v>
      </c>
    </row>
    <row r="434" customFormat="false" ht="15" hidden="false" customHeight="true" outlineLevel="0" collapsed="false">
      <c r="A434" s="9" t="s">
        <v>1251</v>
      </c>
      <c r="B434" s="9" t="s">
        <v>1268</v>
      </c>
      <c r="C434" s="9" t="s">
        <v>24</v>
      </c>
      <c r="D434" s="9" t="s">
        <v>25</v>
      </c>
      <c r="E434" s="10" t="n">
        <v>4.8</v>
      </c>
      <c r="F434" s="9" t="n">
        <v>15</v>
      </c>
      <c r="G434" s="11" t="n">
        <v>875</v>
      </c>
      <c r="H434" s="12" t="n">
        <f aca="false">IF(G434="","",ROUND(G434*(1-Supuestos!$B$3),0))</f>
        <v>613</v>
      </c>
      <c r="I434" s="9" t="s">
        <v>1253</v>
      </c>
      <c r="J434" s="9" t="s">
        <v>1254</v>
      </c>
      <c r="K434" s="9"/>
      <c r="L434" s="9" t="s">
        <v>1255</v>
      </c>
      <c r="M434" s="13" t="s">
        <v>1270</v>
      </c>
    </row>
    <row r="435" customFormat="false" ht="15" hidden="false" customHeight="true" outlineLevel="0" collapsed="false">
      <c r="A435" s="9" t="s">
        <v>1251</v>
      </c>
      <c r="B435" s="9" t="s">
        <v>1271</v>
      </c>
      <c r="C435" s="9" t="s">
        <v>24</v>
      </c>
      <c r="D435" s="9" t="s">
        <v>25</v>
      </c>
      <c r="E435" s="10" t="n">
        <v>5</v>
      </c>
      <c r="F435" s="9" t="n">
        <v>1</v>
      </c>
      <c r="G435" s="11" t="n">
        <v>1400</v>
      </c>
      <c r="H435" s="12" t="n">
        <f aca="false">IF(G435="","",ROUND(G435*(1-Supuestos!$B$3),0))</f>
        <v>980</v>
      </c>
      <c r="I435" s="9" t="s">
        <v>1253</v>
      </c>
      <c r="J435" s="9" t="s">
        <v>1254</v>
      </c>
      <c r="K435" s="9"/>
      <c r="L435" s="9" t="s">
        <v>1255</v>
      </c>
      <c r="M435" s="13" t="s">
        <v>1272</v>
      </c>
    </row>
    <row r="436" customFormat="false" ht="15" hidden="false" customHeight="true" outlineLevel="0" collapsed="false">
      <c r="A436" s="9" t="s">
        <v>1251</v>
      </c>
      <c r="B436" s="9" t="s">
        <v>1273</v>
      </c>
      <c r="C436" s="9" t="s">
        <v>24</v>
      </c>
      <c r="D436" s="9" t="s">
        <v>25</v>
      </c>
      <c r="E436" s="10" t="n">
        <v>5</v>
      </c>
      <c r="F436" s="9" t="n">
        <v>1</v>
      </c>
      <c r="G436" s="11" t="n">
        <v>1733</v>
      </c>
      <c r="H436" s="12" t="n">
        <f aca="false">IF(G436="","",ROUND(G436*(1-Supuestos!$B$3),0))</f>
        <v>1213</v>
      </c>
      <c r="I436" s="9" t="s">
        <v>1253</v>
      </c>
      <c r="J436" s="9" t="s">
        <v>1254</v>
      </c>
      <c r="K436" s="9"/>
      <c r="L436" s="9" t="s">
        <v>1255</v>
      </c>
      <c r="M436" s="13" t="s">
        <v>1274</v>
      </c>
    </row>
    <row r="437" customFormat="false" ht="15" hidden="false" customHeight="true" outlineLevel="0" collapsed="false">
      <c r="A437" s="9" t="s">
        <v>1251</v>
      </c>
      <c r="B437" s="9" t="s">
        <v>1275</v>
      </c>
      <c r="C437" s="9" t="s">
        <v>24</v>
      </c>
      <c r="D437" s="9" t="s">
        <v>25</v>
      </c>
      <c r="E437" s="10" t="n">
        <v>5</v>
      </c>
      <c r="F437" s="9" t="n">
        <v>2</v>
      </c>
      <c r="G437" s="11" t="n">
        <v>1208</v>
      </c>
      <c r="H437" s="12" t="n">
        <f aca="false">IF(G437="","",ROUND(G437*(1-Supuestos!$B$3),0))</f>
        <v>846</v>
      </c>
      <c r="I437" s="9" t="s">
        <v>1253</v>
      </c>
      <c r="J437" s="9" t="s">
        <v>1254</v>
      </c>
      <c r="K437" s="9"/>
      <c r="L437" s="9" t="s">
        <v>1255</v>
      </c>
      <c r="M437" s="13" t="s">
        <v>1276</v>
      </c>
    </row>
    <row r="438" customFormat="false" ht="15" hidden="false" customHeight="true" outlineLevel="0" collapsed="false">
      <c r="A438" s="9" t="s">
        <v>1251</v>
      </c>
      <c r="B438" s="9" t="s">
        <v>1277</v>
      </c>
      <c r="C438" s="9" t="s">
        <v>24</v>
      </c>
      <c r="D438" s="9" t="s">
        <v>25</v>
      </c>
      <c r="E438" s="10"/>
      <c r="F438" s="9" t="n">
        <v>0</v>
      </c>
      <c r="G438" s="11" t="n">
        <v>1208</v>
      </c>
      <c r="H438" s="12" t="n">
        <f aca="false">IF(G438="","",ROUND(G438*(1-Supuestos!$B$3),0))</f>
        <v>846</v>
      </c>
      <c r="I438" s="9" t="s">
        <v>1253</v>
      </c>
      <c r="J438" s="9" t="s">
        <v>1254</v>
      </c>
      <c r="K438" s="9"/>
      <c r="L438" s="9" t="s">
        <v>1255</v>
      </c>
      <c r="M438" s="13" t="s">
        <v>1278</v>
      </c>
    </row>
    <row r="439" customFormat="false" ht="15" hidden="false" customHeight="true" outlineLevel="0" collapsed="false">
      <c r="A439" s="9" t="s">
        <v>1251</v>
      </c>
      <c r="B439" s="9" t="s">
        <v>1279</v>
      </c>
      <c r="C439" s="9" t="s">
        <v>24</v>
      </c>
      <c r="D439" s="9" t="s">
        <v>25</v>
      </c>
      <c r="E439" s="10" t="n">
        <v>5</v>
      </c>
      <c r="F439" s="9" t="n">
        <v>1</v>
      </c>
      <c r="G439" s="11" t="n">
        <v>1225</v>
      </c>
      <c r="H439" s="12" t="n">
        <f aca="false">IF(G439="","",ROUND(G439*(1-Supuestos!$B$3),0))</f>
        <v>858</v>
      </c>
      <c r="I439" s="9" t="s">
        <v>1253</v>
      </c>
      <c r="J439" s="9" t="s">
        <v>1254</v>
      </c>
      <c r="K439" s="9"/>
      <c r="L439" s="9" t="s">
        <v>1255</v>
      </c>
      <c r="M439" s="13" t="s">
        <v>1280</v>
      </c>
    </row>
    <row r="440" customFormat="false" ht="15" hidden="false" customHeight="true" outlineLevel="0" collapsed="false">
      <c r="A440" s="9" t="s">
        <v>1251</v>
      </c>
      <c r="B440" s="9" t="s">
        <v>1281</v>
      </c>
      <c r="C440" s="9" t="s">
        <v>24</v>
      </c>
      <c r="D440" s="9" t="s">
        <v>25</v>
      </c>
      <c r="E440" s="10" t="n">
        <v>3.7</v>
      </c>
      <c r="F440" s="9" t="n">
        <v>3</v>
      </c>
      <c r="G440" s="11" t="n">
        <v>1925</v>
      </c>
      <c r="H440" s="12" t="n">
        <f aca="false">IF(G440="","",ROUND(G440*(1-Supuestos!$B$3),0))</f>
        <v>1348</v>
      </c>
      <c r="I440" s="9" t="s">
        <v>1253</v>
      </c>
      <c r="J440" s="9" t="s">
        <v>1254</v>
      </c>
      <c r="K440" s="9"/>
      <c r="L440" s="9" t="s">
        <v>1255</v>
      </c>
      <c r="M440" s="13" t="s">
        <v>1282</v>
      </c>
    </row>
    <row r="441" customFormat="false" ht="15" hidden="false" customHeight="true" outlineLevel="0" collapsed="false">
      <c r="A441" s="9" t="s">
        <v>1251</v>
      </c>
      <c r="B441" s="9" t="s">
        <v>1283</v>
      </c>
      <c r="C441" s="9" t="s">
        <v>46</v>
      </c>
      <c r="D441" s="9" t="s">
        <v>25</v>
      </c>
      <c r="E441" s="10"/>
      <c r="F441" s="9" t="n">
        <v>0</v>
      </c>
      <c r="G441" s="11" t="n">
        <v>2258</v>
      </c>
      <c r="H441" s="12" t="n">
        <f aca="false">IF(G441="","",ROUND(G441*(1-Supuestos!$B$3),0))</f>
        <v>1581</v>
      </c>
      <c r="I441" s="9" t="s">
        <v>1253</v>
      </c>
      <c r="J441" s="9" t="s">
        <v>1254</v>
      </c>
      <c r="K441" s="9"/>
      <c r="L441" s="9" t="s">
        <v>1255</v>
      </c>
      <c r="M441" s="13" t="s">
        <v>1284</v>
      </c>
    </row>
    <row r="442" customFormat="false" ht="15" hidden="false" customHeight="true" outlineLevel="0" collapsed="false">
      <c r="A442" s="9" t="s">
        <v>1251</v>
      </c>
      <c r="B442" s="9" t="s">
        <v>1285</v>
      </c>
      <c r="C442" s="9" t="s">
        <v>46</v>
      </c>
      <c r="D442" s="9" t="s">
        <v>38</v>
      </c>
      <c r="E442" s="10"/>
      <c r="F442" s="9" t="n">
        <v>0</v>
      </c>
      <c r="G442" s="11" t="n">
        <v>925</v>
      </c>
      <c r="H442" s="12" t="n">
        <f aca="false">IF(G442="","",ROUND(G442*(1-Supuestos!$B$3),0))</f>
        <v>648</v>
      </c>
      <c r="I442" s="9" t="s">
        <v>1253</v>
      </c>
      <c r="J442" s="9" t="s">
        <v>1254</v>
      </c>
      <c r="K442" s="9"/>
      <c r="L442" s="9" t="s">
        <v>1255</v>
      </c>
      <c r="M442" s="13" t="s">
        <v>1286</v>
      </c>
    </row>
    <row r="443" customFormat="false" ht="15" hidden="false" customHeight="true" outlineLevel="0" collapsed="false">
      <c r="A443" s="9" t="s">
        <v>1287</v>
      </c>
      <c r="B443" s="9" t="s">
        <v>1288</v>
      </c>
      <c r="C443" s="9" t="s">
        <v>24</v>
      </c>
      <c r="D443" s="9" t="s">
        <v>38</v>
      </c>
      <c r="E443" s="10" t="n">
        <v>5</v>
      </c>
      <c r="F443" s="9" t="n">
        <v>2</v>
      </c>
      <c r="G443" s="11" t="n">
        <v>1073</v>
      </c>
      <c r="H443" s="12" t="n">
        <f aca="false">IF(G443="","",ROUND(G443*(1-Supuestos!$B$3),0))</f>
        <v>751</v>
      </c>
      <c r="I443" s="9"/>
      <c r="J443" s="9"/>
      <c r="K443" s="9"/>
      <c r="L443" s="9"/>
      <c r="M443" s="13" t="s">
        <v>1289</v>
      </c>
    </row>
    <row r="444" customFormat="false" ht="15" hidden="false" customHeight="true" outlineLevel="0" collapsed="false">
      <c r="A444" s="9" t="s">
        <v>1290</v>
      </c>
      <c r="B444" s="9" t="s">
        <v>1291</v>
      </c>
      <c r="C444" s="9" t="s">
        <v>24</v>
      </c>
      <c r="D444" s="9" t="s">
        <v>38</v>
      </c>
      <c r="E444" s="10"/>
      <c r="F444" s="9" t="n">
        <v>0</v>
      </c>
      <c r="G444" s="11" t="n">
        <v>2701</v>
      </c>
      <c r="H444" s="12" t="n">
        <f aca="false">IF(G444="","",ROUND(G444*(1-Supuestos!$B$3),0))</f>
        <v>1891</v>
      </c>
      <c r="I444" s="9"/>
      <c r="J444" s="9"/>
      <c r="K444" s="9"/>
      <c r="L444" s="9"/>
      <c r="M444" s="13" t="s">
        <v>1292</v>
      </c>
    </row>
    <row r="445" customFormat="false" ht="15" hidden="false" customHeight="true" outlineLevel="0" collapsed="false">
      <c r="A445" s="9" t="s">
        <v>1293</v>
      </c>
      <c r="B445" s="9" t="s">
        <v>1294</v>
      </c>
      <c r="C445" s="9" t="s">
        <v>24</v>
      </c>
      <c r="D445" s="9" t="s">
        <v>25</v>
      </c>
      <c r="E445" s="10" t="n">
        <v>5</v>
      </c>
      <c r="F445" s="9" t="n">
        <v>18</v>
      </c>
      <c r="G445" s="11" t="n">
        <v>1299</v>
      </c>
      <c r="H445" s="12" t="n">
        <f aca="false">IF(G445="","",ROUND(G445*(1-Supuestos!$B$3),0))</f>
        <v>909</v>
      </c>
      <c r="I445" s="9" t="s">
        <v>1295</v>
      </c>
      <c r="J445" s="9" t="s">
        <v>1296</v>
      </c>
      <c r="K445" s="9" t="s">
        <v>1297</v>
      </c>
      <c r="L445" s="9"/>
      <c r="M445" s="13" t="s">
        <v>1298</v>
      </c>
    </row>
    <row r="446" customFormat="false" ht="15" hidden="false" customHeight="true" outlineLevel="0" collapsed="false">
      <c r="A446" s="9" t="s">
        <v>1293</v>
      </c>
      <c r="B446" s="9" t="s">
        <v>1299</v>
      </c>
      <c r="C446" s="9" t="s">
        <v>42</v>
      </c>
      <c r="D446" s="9" t="s">
        <v>25</v>
      </c>
      <c r="E446" s="10" t="n">
        <v>5</v>
      </c>
      <c r="F446" s="9" t="n">
        <v>5</v>
      </c>
      <c r="G446" s="11" t="n">
        <v>1299</v>
      </c>
      <c r="H446" s="12" t="n">
        <f aca="false">IF(G446="","",ROUND(G446*(1-Supuestos!$B$3),0))</f>
        <v>909</v>
      </c>
      <c r="I446" s="9" t="s">
        <v>1295</v>
      </c>
      <c r="J446" s="9" t="s">
        <v>1296</v>
      </c>
      <c r="K446" s="9" t="s">
        <v>1297</v>
      </c>
      <c r="L446" s="9"/>
      <c r="M446" s="13" t="s">
        <v>1300</v>
      </c>
    </row>
    <row r="447" customFormat="false" ht="15" hidden="false" customHeight="true" outlineLevel="0" collapsed="false">
      <c r="A447" s="9" t="s">
        <v>1301</v>
      </c>
      <c r="B447" s="9" t="s">
        <v>1302</v>
      </c>
      <c r="C447" s="9" t="s">
        <v>24</v>
      </c>
      <c r="D447" s="9" t="s">
        <v>25</v>
      </c>
      <c r="E447" s="10" t="n">
        <v>5</v>
      </c>
      <c r="F447" s="9" t="n">
        <v>6</v>
      </c>
      <c r="G447" s="11" t="n">
        <v>920</v>
      </c>
      <c r="H447" s="12" t="n">
        <f aca="false">IF(G447="","",ROUND(G447*(1-Supuestos!$B$3),0))</f>
        <v>644</v>
      </c>
      <c r="I447" s="9"/>
      <c r="J447" s="9"/>
      <c r="K447" s="9"/>
      <c r="L447" s="9"/>
      <c r="M447" s="13" t="s">
        <v>1303</v>
      </c>
    </row>
    <row r="448" customFormat="false" ht="15" hidden="false" customHeight="true" outlineLevel="0" collapsed="false">
      <c r="A448" s="9" t="s">
        <v>1304</v>
      </c>
      <c r="B448" s="9" t="s">
        <v>1305</v>
      </c>
      <c r="C448" s="9" t="s">
        <v>24</v>
      </c>
      <c r="D448" s="9" t="s">
        <v>50</v>
      </c>
      <c r="E448" s="10" t="n">
        <v>5</v>
      </c>
      <c r="F448" s="9" t="n">
        <v>2</v>
      </c>
      <c r="G448" s="11" t="n">
        <v>3750</v>
      </c>
      <c r="H448" s="12" t="n">
        <f aca="false">IF(G448="","",ROUND(G448*(1-Supuestos!$B$3),0))</f>
        <v>2625</v>
      </c>
      <c r="I448" s="9" t="s">
        <v>1306</v>
      </c>
      <c r="J448" s="9"/>
      <c r="K448" s="9" t="s">
        <v>1307</v>
      </c>
      <c r="L448" s="9" t="s">
        <v>1308</v>
      </c>
      <c r="M448" s="13" t="s">
        <v>1309</v>
      </c>
    </row>
    <row r="449" customFormat="false" ht="15" hidden="false" customHeight="true" outlineLevel="0" collapsed="false">
      <c r="A449" s="9" t="s">
        <v>1304</v>
      </c>
      <c r="B449" s="9" t="s">
        <v>1310</v>
      </c>
      <c r="C449" s="9" t="s">
        <v>24</v>
      </c>
      <c r="D449" s="9" t="s">
        <v>50</v>
      </c>
      <c r="E449" s="10" t="n">
        <v>4.74</v>
      </c>
      <c r="F449" s="9" t="n">
        <v>11</v>
      </c>
      <c r="G449" s="11" t="n">
        <v>3750</v>
      </c>
      <c r="H449" s="12" t="n">
        <f aca="false">IF(G449="","",ROUND(G449*(1-Supuestos!$B$3),0))</f>
        <v>2625</v>
      </c>
      <c r="I449" s="9" t="s">
        <v>1306</v>
      </c>
      <c r="J449" s="9"/>
      <c r="K449" s="9" t="s">
        <v>1307</v>
      </c>
      <c r="L449" s="9" t="s">
        <v>1308</v>
      </c>
      <c r="M449" s="13" t="s">
        <v>1311</v>
      </c>
    </row>
    <row r="450" customFormat="false" ht="15" hidden="false" customHeight="true" outlineLevel="0" collapsed="false">
      <c r="A450" s="9" t="s">
        <v>1312</v>
      </c>
      <c r="B450" s="9" t="s">
        <v>1313</v>
      </c>
      <c r="C450" s="9" t="s">
        <v>24</v>
      </c>
      <c r="D450" s="9" t="s">
        <v>25</v>
      </c>
      <c r="E450" s="10" t="n">
        <v>4.9</v>
      </c>
      <c r="F450" s="9" t="n">
        <v>128</v>
      </c>
      <c r="G450" s="11" t="n">
        <v>858</v>
      </c>
      <c r="H450" s="12" t="n">
        <f aca="false">IF(G450="","",ROUND(G450*(1-Supuestos!$B$3),0))</f>
        <v>601</v>
      </c>
      <c r="I450" s="9" t="s">
        <v>1314</v>
      </c>
      <c r="J450" s="9"/>
      <c r="K450" s="9"/>
      <c r="L450" s="9"/>
      <c r="M450" s="13" t="s">
        <v>1315</v>
      </c>
    </row>
    <row r="451" customFormat="false" ht="15" hidden="false" customHeight="true" outlineLevel="0" collapsed="false">
      <c r="A451" s="9" t="s">
        <v>1312</v>
      </c>
      <c r="B451" s="9" t="s">
        <v>1316</v>
      </c>
      <c r="C451" s="9" t="s">
        <v>24</v>
      </c>
      <c r="D451" s="9" t="s">
        <v>25</v>
      </c>
      <c r="E451" s="10" t="n">
        <v>4.9</v>
      </c>
      <c r="F451" s="9" t="n">
        <v>266</v>
      </c>
      <c r="G451" s="11" t="n">
        <v>875</v>
      </c>
      <c r="H451" s="12" t="n">
        <f aca="false">IF(G451="","",ROUND(G451*(1-Supuestos!$B$3),0))</f>
        <v>613</v>
      </c>
      <c r="I451" s="9" t="s">
        <v>1314</v>
      </c>
      <c r="J451" s="9"/>
      <c r="K451" s="9"/>
      <c r="L451" s="9"/>
      <c r="M451" s="13" t="s">
        <v>1317</v>
      </c>
    </row>
    <row r="452" customFormat="false" ht="15" hidden="false" customHeight="true" outlineLevel="0" collapsed="false">
      <c r="A452" s="9" t="s">
        <v>1318</v>
      </c>
      <c r="B452" s="9" t="s">
        <v>1319</v>
      </c>
      <c r="C452" s="9" t="s">
        <v>24</v>
      </c>
      <c r="D452" s="9" t="s">
        <v>25</v>
      </c>
      <c r="E452" s="10"/>
      <c r="F452" s="9" t="n">
        <v>0</v>
      </c>
      <c r="G452" s="11" t="n">
        <v>1050</v>
      </c>
      <c r="H452" s="12" t="n">
        <f aca="false">IF(G452="","",ROUND(G452*(1-Supuestos!$B$3),0))</f>
        <v>735</v>
      </c>
      <c r="I452" s="9"/>
      <c r="J452" s="9"/>
      <c r="K452" s="9"/>
      <c r="L452" s="9"/>
      <c r="M452" s="13" t="s">
        <v>1320</v>
      </c>
    </row>
    <row r="453" customFormat="false" ht="15" hidden="false" customHeight="true" outlineLevel="0" collapsed="false">
      <c r="A453" s="9" t="s">
        <v>1321</v>
      </c>
      <c r="B453" s="9" t="s">
        <v>1322</v>
      </c>
      <c r="C453" s="9" t="s">
        <v>24</v>
      </c>
      <c r="D453" s="9" t="s">
        <v>25</v>
      </c>
      <c r="E453" s="10" t="n">
        <v>4.5</v>
      </c>
      <c r="F453" s="9" t="n">
        <v>116</v>
      </c>
      <c r="G453" s="11" t="n">
        <v>1840</v>
      </c>
      <c r="H453" s="12" t="n">
        <f aca="false">IF(G453="","",ROUND(G453*(1-Supuestos!$B$3),0))</f>
        <v>1288</v>
      </c>
      <c r="I453" s="9" t="s">
        <v>1323</v>
      </c>
      <c r="J453" s="9" t="s">
        <v>1324</v>
      </c>
      <c r="K453" s="9"/>
      <c r="L453" s="9"/>
      <c r="M453" s="13" t="s">
        <v>1325</v>
      </c>
    </row>
    <row r="454" customFormat="false" ht="15" hidden="false" customHeight="true" outlineLevel="0" collapsed="false">
      <c r="A454" s="9" t="s">
        <v>1326</v>
      </c>
      <c r="B454" s="9" t="s">
        <v>1327</v>
      </c>
      <c r="C454" s="9" t="s">
        <v>24</v>
      </c>
      <c r="D454" s="9" t="s">
        <v>88</v>
      </c>
      <c r="E454" s="10" t="n">
        <v>4.75</v>
      </c>
      <c r="F454" s="9" t="n">
        <v>22</v>
      </c>
      <c r="G454" s="11" t="n">
        <v>0</v>
      </c>
      <c r="H454" s="12" t="n">
        <f aca="false">IF(G454="","",ROUND(G454*(1-Supuestos!$B$3),0))</f>
        <v>0</v>
      </c>
      <c r="I454" s="9"/>
      <c r="J454" s="9"/>
      <c r="K454" s="9" t="s">
        <v>1328</v>
      </c>
      <c r="L454" s="9"/>
      <c r="M454" s="13" t="s">
        <v>1329</v>
      </c>
    </row>
    <row r="455" customFormat="false" ht="15" hidden="false" customHeight="true" outlineLevel="0" collapsed="false">
      <c r="A455" s="9" t="s">
        <v>1330</v>
      </c>
      <c r="B455" s="9" t="s">
        <v>1331</v>
      </c>
      <c r="C455" s="9" t="s">
        <v>24</v>
      </c>
      <c r="D455" s="9" t="s">
        <v>50</v>
      </c>
      <c r="E455" s="10" t="n">
        <v>3.82</v>
      </c>
      <c r="F455" s="9" t="n">
        <v>3</v>
      </c>
      <c r="G455" s="11" t="n">
        <v>900</v>
      </c>
      <c r="H455" s="12" t="n">
        <f aca="false">IF(G455="","",ROUND(G455*(1-Supuestos!$B$3),0))</f>
        <v>630</v>
      </c>
      <c r="I455" s="9"/>
      <c r="J455" s="9"/>
      <c r="K455" s="9"/>
      <c r="L455" s="9"/>
      <c r="M455" s="13" t="s">
        <v>1332</v>
      </c>
    </row>
    <row r="456" customFormat="false" ht="15" hidden="false" customHeight="true" outlineLevel="0" collapsed="false">
      <c r="A456" s="9" t="s">
        <v>1330</v>
      </c>
      <c r="B456" s="9" t="s">
        <v>1333</v>
      </c>
      <c r="C456" s="9" t="s">
        <v>24</v>
      </c>
      <c r="D456" s="9" t="s">
        <v>50</v>
      </c>
      <c r="E456" s="10" t="n">
        <v>5</v>
      </c>
      <c r="F456" s="9" t="n">
        <v>1</v>
      </c>
      <c r="G456" s="11" t="n">
        <v>1750</v>
      </c>
      <c r="H456" s="12" t="n">
        <f aca="false">IF(G456="","",ROUND(G456*(1-Supuestos!$B$3),0))</f>
        <v>1225</v>
      </c>
      <c r="I456" s="9"/>
      <c r="J456" s="9"/>
      <c r="K456" s="9"/>
      <c r="L456" s="9"/>
      <c r="M456" s="13" t="s">
        <v>1334</v>
      </c>
    </row>
    <row r="457" customFormat="false" ht="15" hidden="false" customHeight="true" outlineLevel="0" collapsed="false">
      <c r="A457" s="3" t="s">
        <v>1335</v>
      </c>
      <c r="F457" s="3" t="n">
        <f aca="false">SUM(F2:F456)</f>
        <v>53247</v>
      </c>
      <c r="G457" s="15" t="n">
        <f aca="false">ROUND(AVERAGE(G2:G456),0)</f>
        <v>1598</v>
      </c>
      <c r="H457" s="15" t="n">
        <f aca="false">ROUND(AVERAGE(H2:H456),0)</f>
        <v>1119</v>
      </c>
    </row>
    <row r="458" customFormat="false" ht="15" hidden="false" customHeight="true" outlineLevel="0" collapsed="false">
      <c r="A458" s="16" t="s">
        <v>1336</v>
      </c>
      <c r="G458" s="17"/>
      <c r="H458"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4" min="3" style="1" width="20"/>
  </cols>
  <sheetData>
    <row r="1" customFormat="false" ht="15" hidden="false" customHeight="true" outlineLevel="0" collapsed="false">
      <c r="A1" s="18" t="s">
        <v>12</v>
      </c>
      <c r="B1" s="18" t="s">
        <v>1337</v>
      </c>
      <c r="C1" s="18" t="s">
        <v>1338</v>
      </c>
      <c r="D1" s="18" t="s">
        <v>1339</v>
      </c>
    </row>
    <row r="2" customFormat="false" ht="15" hidden="false" customHeight="true" outlineLevel="0" collapsed="false">
      <c r="A2" s="19" t="s">
        <v>38</v>
      </c>
      <c r="B2" s="19" t="n">
        <f aca="false">COUNTIF(Netos!$D:$D,A2)</f>
        <v>136</v>
      </c>
      <c r="C2" s="20" t="n">
        <f aca="false">ROUND(AVERAGEIF(Netos!$D$2:$D$456,A2,Netos!$G$2:$G$456),0)</f>
        <v>1203</v>
      </c>
      <c r="D2" s="21" t="n">
        <f aca="false">ROUND(AVERAGEIF(Netos!$D$2:$D$456,A2,Netos!$H$2:$H$456),0)</f>
        <v>842</v>
      </c>
    </row>
    <row r="3" customFormat="false" ht="15" hidden="false" customHeight="true" outlineLevel="0" collapsed="false">
      <c r="A3" s="19" t="s">
        <v>88</v>
      </c>
      <c r="B3" s="19" t="n">
        <f aca="false">COUNTIF(Netos!$D:$D,A3)</f>
        <v>23</v>
      </c>
      <c r="C3" s="20" t="n">
        <f aca="false">ROUND(AVERAGEIF(Netos!$D$2:$D$456,A3,Netos!$G$2:$G$456),0)</f>
        <v>2444</v>
      </c>
      <c r="D3" s="21" t="n">
        <f aca="false">ROUND(AVERAGEIF(Netos!$D$2:$D$456,A3,Netos!$H$2:$H$456),0)</f>
        <v>1711</v>
      </c>
    </row>
    <row r="4" customFormat="false" ht="15" hidden="false" customHeight="true" outlineLevel="0" collapsed="false">
      <c r="A4" s="19" t="s">
        <v>50</v>
      </c>
      <c r="B4" s="19" t="n">
        <f aca="false">COUNTIF(Netos!$D:$D,A4)</f>
        <v>116</v>
      </c>
      <c r="C4" s="20" t="n">
        <f aca="false">ROUND(AVERAGEIF(Netos!$D$2:$D$456,A4,Netos!$G$2:$G$456),0)</f>
        <v>2075</v>
      </c>
      <c r="D4" s="21" t="n">
        <f aca="false">ROUND(AVERAGEIF(Netos!$D$2:$D$456,A4,Netos!$H$2:$H$456),0)</f>
        <v>1453</v>
      </c>
    </row>
    <row r="5" customFormat="false" ht="15" hidden="false" customHeight="true" outlineLevel="0" collapsed="false">
      <c r="A5" s="19" t="s">
        <v>25</v>
      </c>
      <c r="B5" s="19" t="n">
        <f aca="false">COUNTIF(Netos!$D:$D,A5)</f>
        <v>180</v>
      </c>
      <c r="C5" s="20" t="n">
        <f aca="false">ROUND(AVERAGEIF(Netos!$D$2:$D$456,A5,Netos!$G$2:$G$456),0)</f>
        <v>1482</v>
      </c>
      <c r="D5" s="21" t="n">
        <f aca="false">ROUND(AVERAGEIF(Netos!$D$2:$D$456,A5,Netos!$H$2:$H$456),0)</f>
        <v>1038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2026-09-21T11:25:55Z</dcterms:created>
  <dc:creator>openpyxl</dc:creator>
  <dc:description/>
  <dc:language>en-US</dc:language>
  <cp:lastModifiedBy/>
  <dcterms:modified xsi:type="dcterms:W3CDTF">2026-09-21T11:33:38Z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